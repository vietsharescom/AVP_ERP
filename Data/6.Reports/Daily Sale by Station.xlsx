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VP_ERP\Data\6.Reports\"/>
    </mc:Choice>
  </mc:AlternateContent>
  <xr:revisionPtr revIDLastSave="0" documentId="13_ncr:1_{2D6EA230-DDDB-4EF7-B903-12BE8DF56639}" xr6:coauthVersionLast="47" xr6:coauthVersionMax="47" xr10:uidLastSave="{00000000-0000-0000-0000-000000000000}"/>
  <bookViews>
    <workbookView xWindow="0" yWindow="0" windowWidth="17205" windowHeight="20880" xr2:uid="{AC2F139F-1E69-4462-9755-D5E5D6FF53FE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2" i="1" l="1"/>
  <c r="J91" i="1"/>
  <c r="J90" i="1"/>
  <c r="J82" i="1"/>
  <c r="J81" i="1"/>
  <c r="J80" i="1"/>
  <c r="J74" i="1"/>
  <c r="J68" i="1"/>
  <c r="J67" i="1"/>
  <c r="J66" i="1"/>
  <c r="J52" i="1"/>
  <c r="H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APV AIO</author>
  </authors>
  <commentList>
    <comment ref="E52" authorId="0" shapeId="0" xr:uid="{3D8317BF-9247-4B14-8EBA-27B2D4C74226}">
      <text>
        <r>
          <rPr>
            <b/>
            <sz val="9"/>
            <color indexed="81"/>
            <rFont val="Tahoma"/>
            <charset val="1"/>
          </rPr>
          <t>APV AIO:</t>
        </r>
        <r>
          <rPr>
            <sz val="9"/>
            <color indexed="81"/>
            <rFont val="Tahoma"/>
            <charset val="1"/>
          </rPr>
          <t xml:space="preserve">
BIN TO BIN TUMBLING</t>
        </r>
      </text>
    </comment>
  </commentList>
</comments>
</file>

<file path=xl/sharedStrings.xml><?xml version="1.0" encoding="utf-8"?>
<sst xmlns="http://schemas.openxmlformats.org/spreadsheetml/2006/main" count="376" uniqueCount="76">
  <si>
    <t xml:space="preserve">Date </t>
  </si>
  <si>
    <t>Work Station</t>
  </si>
  <si>
    <t>Station</t>
  </si>
  <si>
    <t>Part</t>
  </si>
  <si>
    <t>Traveler</t>
  </si>
  <si>
    <t>Boxes / Pieces</t>
  </si>
  <si>
    <t>Unit Quantity</t>
  </si>
  <si>
    <t>Total Quantity</t>
  </si>
  <si>
    <t>Operator</t>
  </si>
  <si>
    <t>Price</t>
  </si>
  <si>
    <t>Row Labels</t>
  </si>
  <si>
    <t>Sum of Total Quantity</t>
  </si>
  <si>
    <t>Sum of Price</t>
  </si>
  <si>
    <t>Infasco-Marieville</t>
  </si>
  <si>
    <t>TB9-INF MV</t>
  </si>
  <si>
    <t>M12 X 1.75 X 130MM</t>
  </si>
  <si>
    <t>2604-52163 ; 397151</t>
  </si>
  <si>
    <t>261+245</t>
  </si>
  <si>
    <t>LINE 1</t>
  </si>
  <si>
    <t>BF113</t>
  </si>
  <si>
    <t>BF116</t>
  </si>
  <si>
    <t>06101831-A</t>
  </si>
  <si>
    <t>BF117</t>
  </si>
  <si>
    <t>11546367-MY-AK</t>
  </si>
  <si>
    <t>MC019</t>
  </si>
  <si>
    <t>MC024</t>
  </si>
  <si>
    <t>MC026</t>
  </si>
  <si>
    <t>MC110</t>
  </si>
  <si>
    <t>11546378-MY-AK</t>
  </si>
  <si>
    <t>LINE 2</t>
  </si>
  <si>
    <t>BF102</t>
  </si>
  <si>
    <t>BF103</t>
  </si>
  <si>
    <t>BF104</t>
  </si>
  <si>
    <t>BF108</t>
  </si>
  <si>
    <t>06100050-A</t>
  </si>
  <si>
    <t>BF112</t>
  </si>
  <si>
    <t>MC112</t>
  </si>
  <si>
    <t>LINE 3</t>
  </si>
  <si>
    <t>BF106</t>
  </si>
  <si>
    <t>BF107</t>
  </si>
  <si>
    <t>BF109</t>
  </si>
  <si>
    <t>BF110</t>
  </si>
  <si>
    <t>11546774-MY-AK</t>
  </si>
  <si>
    <t>MC078</t>
  </si>
  <si>
    <t>LINE 4</t>
  </si>
  <si>
    <t>BF114</t>
  </si>
  <si>
    <t>BF118</t>
  </si>
  <si>
    <t>BF120</t>
  </si>
  <si>
    <t>06104725AA</t>
  </si>
  <si>
    <t>BF121</t>
  </si>
  <si>
    <t>BF123</t>
  </si>
  <si>
    <t>BF124</t>
  </si>
  <si>
    <t>MAGNUM</t>
  </si>
  <si>
    <t>MC 51</t>
  </si>
  <si>
    <t>E11273</t>
  </si>
  <si>
    <t>26-35218 ; 52708</t>
  </si>
  <si>
    <t>MC 75</t>
  </si>
  <si>
    <t>PCKY1233</t>
  </si>
  <si>
    <t>26-34866 ; 52708</t>
  </si>
  <si>
    <t>TABLE 1-MN</t>
  </si>
  <si>
    <t>PCMX0158 (935.124-00)</t>
  </si>
  <si>
    <t>26-35289 ; 52708</t>
  </si>
  <si>
    <t>MANUAL</t>
  </si>
  <si>
    <t>TABLE1-INFASCO</t>
  </si>
  <si>
    <t>157+300</t>
  </si>
  <si>
    <t>NU3019</t>
  </si>
  <si>
    <t>TABLE2-INFASCO</t>
  </si>
  <si>
    <t>TABLE3-INFASCO</t>
  </si>
  <si>
    <t>190+268</t>
  </si>
  <si>
    <t>55364498AA</t>
  </si>
  <si>
    <t>TABLE4-INFASCO</t>
  </si>
  <si>
    <t>252+11</t>
  </si>
  <si>
    <t>11610126-BR-HA</t>
  </si>
  <si>
    <t>SPECIAL SORT</t>
  </si>
  <si>
    <t>MC074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</si>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</sst>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  <numFmt numFmtId="166" formatCode="m/d/yyyy\ h:m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165" fontId="0" fillId="0" borderId="0" xfId="0" applyNumberFormat="1"/>
    <xf numFmtId="43" fontId="0" fillId="0" borderId="0" xfId="1" applyFon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6" fontId="0" fillId="0" borderId="0" xfId="0" applyNumberFormat="1"/>
    <xf numFmtId="0" fontId="0" fillId="0" borderId="0" xfId="0" pivotButton="1"/>
  </cellXfs>
  <cellStyles count="2">
    <cellStyle name="Comma" xfId="1" builtinId="3"/>
    <cellStyle name="Normal" xfId="0" builtinId="0"/>
  </cellStyles>
  <dxfs count="1">
    <dxf>
      <numFmt numFmtId="34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YourFile\PRODUCTION%20REPORTS\2026\DAILY%20SALE\DAILY%20SALE%20BY%20STATION-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PV AIO" refreshedDate="46282.386722337964" createdVersion="8" refreshedVersion="8" minRefreshableVersion="3" recordCount="103" xr:uid="{E55D88CF-46F8-42B6-A8BC-84C036FF2B93}">
  <cacheSource type="worksheet">
    <worksheetSource ref="A1:J104" sheet="SEP 16" r:id="rId2"/>
  </cacheSource>
  <cacheFields count="10">
    <cacheField name="Date " numFmtId="14">
      <sharedItems containsSemiMixedTypes="0" containsNonDate="0" containsDate="1" containsString="0" minDate="2026-09-16T17:11:37" maxDate="2026-09-16T17:26:07"/>
    </cacheField>
    <cacheField name="Work Station" numFmtId="0">
      <sharedItems count="8">
        <s v="Infasco-Marieville"/>
        <s v="LINE 1"/>
        <s v="LINE 2"/>
        <s v="LINE 3"/>
        <s v="LINE 4"/>
        <s v="MAGNUM"/>
        <s v="MANUAL"/>
        <s v="SPECIAL SORT"/>
      </sharedItems>
    </cacheField>
    <cacheField name="Station" numFmtId="0">
      <sharedItems count="33">
        <s v="TB9-INF MV"/>
        <s v="BF113"/>
        <s v="BF116"/>
        <s v="BF117"/>
        <s v="MC019"/>
        <s v="MC024"/>
        <s v="MC026"/>
        <s v="MC110"/>
        <s v="BF102"/>
        <s v="BF103"/>
        <s v="BF104"/>
        <s v="BF108"/>
        <s v="BF112"/>
        <s v="MC112"/>
        <s v="BF106"/>
        <s v="BF107"/>
        <s v="BF109"/>
        <s v="BF110"/>
        <s v="MC078"/>
        <s v="BF114"/>
        <s v="BF118"/>
        <s v="BF120"/>
        <s v="BF121"/>
        <s v="BF123"/>
        <s v="BF124"/>
        <s v="MC 51"/>
        <s v="MC 75"/>
        <s v="TABLE 1-MN"/>
        <s v="TABLE1-INFASCO"/>
        <s v="TABLE2-INFASCO"/>
        <s v="TABLE3-INFASCO"/>
        <s v="TABLE4-INFASCO"/>
        <s v="MC074"/>
      </sharedItems>
    </cacheField>
    <cacheField name="Part" numFmtId="0">
      <sharedItems containsMixedTypes="1" containsNumber="1" containsInteger="1" minValue="11546389" maxValue="7151143403" count="28">
        <s v="M12 X 1.75 X 130MM"/>
        <n v="11546389"/>
        <s v="06101831-A"/>
        <s v="11546367-MY-AK"/>
        <n v="7151143403"/>
        <n v="11610091"/>
        <n v="11546449"/>
        <s v="11546378-MY-AK"/>
        <s v="06100050-A"/>
        <n v="11549168"/>
        <s v="11546774-MY-AK"/>
        <n v="11612078"/>
        <s v="06104725AA"/>
        <s v="E11273"/>
        <s v="PCKY1233"/>
        <s v="PCMX0158 (935.124-00)"/>
        <n v="11549170"/>
        <n v="22800396"/>
        <s v="NU3019"/>
        <n v="11546593"/>
        <n v="11602031"/>
        <n v="11609280"/>
        <n v="40073474"/>
        <n v="11549058"/>
        <n v="40109770"/>
        <s v="55364498AA"/>
        <n v="11610126"/>
        <s v="11610126-BR-HA"/>
      </sharedItems>
    </cacheField>
    <cacheField name="Traveler" numFmtId="0">
      <sharedItems containsMixedTypes="1" containsNumber="1" containsInteger="1" minValue="707325" maxValue="718955"/>
    </cacheField>
    <cacheField name="Boxes / Pieces" numFmtId="0">
      <sharedItems containsSemiMixedTypes="0" containsString="0" containsNumber="1" minValue="1" maxValue="49"/>
    </cacheField>
    <cacheField name="Unit Quantity" numFmtId="165">
      <sharedItems containsSemiMixedTypes="0" containsString="0" containsNumber="1" containsInteger="1" minValue="90" maxValue="70000"/>
    </cacheField>
    <cacheField name="Total Quantity" numFmtId="165">
      <sharedItems containsSemiMixedTypes="0" containsString="0" containsNumber="1" containsInteger="1" minValue="180" maxValue="126000"/>
    </cacheField>
    <cacheField name="Operator" numFmtId="0">
      <sharedItems containsMixedTypes="1" containsNumber="1" containsInteger="1" minValue="4" maxValue="391"/>
    </cacheField>
    <cacheField name="Price" numFmtId="43">
      <sharedItems containsSemiMixedTypes="0" containsString="0" containsNumber="1" minValue="0" maxValue="293.84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d v="2026-09-16T17:11:37"/>
    <x v="0"/>
    <x v="0"/>
    <x v="0"/>
    <s v="2604-52163 ; 397151"/>
    <n v="33"/>
    <n v="90"/>
    <n v="2990"/>
    <s v="261+245"/>
    <n v="269.09999999999997"/>
  </r>
  <r>
    <d v="2026-09-16T17:12:16"/>
    <x v="0"/>
    <x v="0"/>
    <x v="0"/>
    <s v="2604-52163 ; 397151"/>
    <n v="36"/>
    <n v="90"/>
    <n v="3265"/>
    <s v="261+245"/>
    <n v="293.84999999999997"/>
  </r>
  <r>
    <d v="2026-09-16T17:13:05"/>
    <x v="0"/>
    <x v="0"/>
    <x v="0"/>
    <s v="2604-52163 ; 397151"/>
    <n v="36"/>
    <n v="90"/>
    <n v="3259"/>
    <s v="261+245"/>
    <n v="293.31"/>
  </r>
  <r>
    <d v="2026-09-16T17:13:33"/>
    <x v="0"/>
    <x v="0"/>
    <x v="0"/>
    <s v="2604-52163 ; 397151"/>
    <n v="2"/>
    <n v="90"/>
    <n v="180"/>
    <s v="261+245"/>
    <n v="16.2"/>
  </r>
  <r>
    <d v="2026-09-16T17:26:07"/>
    <x v="1"/>
    <x v="1"/>
    <x v="1"/>
    <n v="718895"/>
    <n v="21"/>
    <n v="4500"/>
    <n v="94500"/>
    <n v="4"/>
    <n v="106.94"/>
  </r>
  <r>
    <d v="2026-09-16T17:26:07"/>
    <x v="1"/>
    <x v="1"/>
    <x v="1"/>
    <n v="718887"/>
    <n v="21"/>
    <n v="4500"/>
    <n v="94500"/>
    <n v="4"/>
    <n v="106.94"/>
  </r>
  <r>
    <d v="2026-09-16T17:26:07"/>
    <x v="1"/>
    <x v="2"/>
    <x v="2"/>
    <n v="718201"/>
    <n v="33"/>
    <n v="1000"/>
    <n v="33000"/>
    <n v="4"/>
    <n v="106.94"/>
  </r>
  <r>
    <d v="2026-09-16T17:26:07"/>
    <x v="1"/>
    <x v="2"/>
    <x v="2"/>
    <n v="718634"/>
    <n v="11"/>
    <n v="1000"/>
    <n v="11000"/>
    <n v="4"/>
    <n v="0"/>
  </r>
  <r>
    <d v="2026-09-16T17:26:07"/>
    <x v="1"/>
    <x v="3"/>
    <x v="2"/>
    <n v="718196"/>
    <n v="36"/>
    <n v="1000"/>
    <n v="36000"/>
    <n v="4"/>
    <n v="106.94"/>
  </r>
  <r>
    <d v="2026-09-16T17:26:07"/>
    <x v="1"/>
    <x v="3"/>
    <x v="2"/>
    <n v="718190"/>
    <n v="36"/>
    <n v="1000"/>
    <n v="36000"/>
    <n v="4"/>
    <n v="106.94"/>
  </r>
  <r>
    <d v="2026-09-16T17:26:07"/>
    <x v="1"/>
    <x v="3"/>
    <x v="3"/>
    <n v="718375"/>
    <n v="30"/>
    <n v="700"/>
    <n v="21000"/>
    <n v="4"/>
    <n v="0"/>
  </r>
  <r>
    <d v="2026-09-16T17:26:07"/>
    <x v="1"/>
    <x v="4"/>
    <x v="4"/>
    <n v="718063"/>
    <n v="8"/>
    <n v="1750"/>
    <n v="14000"/>
    <n v="4"/>
    <n v="106.94"/>
  </r>
  <r>
    <d v="2026-09-16T17:26:07"/>
    <x v="1"/>
    <x v="4"/>
    <x v="5"/>
    <n v="718720"/>
    <n v="11"/>
    <n v="2500"/>
    <n v="27500"/>
    <n v="4"/>
    <n v="0"/>
  </r>
  <r>
    <d v="2026-09-16T17:26:07"/>
    <x v="1"/>
    <x v="5"/>
    <x v="6"/>
    <n v="718220"/>
    <n v="23"/>
    <n v="2500"/>
    <n v="57500"/>
    <n v="4"/>
    <n v="106.94"/>
  </r>
  <r>
    <d v="2026-09-16T17:26:07"/>
    <x v="1"/>
    <x v="5"/>
    <x v="6"/>
    <n v="718954"/>
    <n v="2"/>
    <n v="2500"/>
    <n v="5000"/>
    <n v="4"/>
    <n v="0"/>
  </r>
  <r>
    <d v="2026-09-16T17:26:07"/>
    <x v="1"/>
    <x v="6"/>
    <x v="6"/>
    <n v="718204"/>
    <n v="6"/>
    <n v="2500"/>
    <n v="15000"/>
    <n v="4"/>
    <n v="106.94"/>
  </r>
  <r>
    <d v="2026-09-16T17:26:07"/>
    <x v="1"/>
    <x v="6"/>
    <x v="6"/>
    <n v="718616"/>
    <n v="36"/>
    <n v="2500"/>
    <n v="90000"/>
    <n v="4"/>
    <n v="106.94"/>
  </r>
  <r>
    <d v="2026-09-16T17:26:07"/>
    <x v="1"/>
    <x v="6"/>
    <x v="3"/>
    <n v="718083"/>
    <n v="19"/>
    <n v="700"/>
    <n v="13300"/>
    <n v="4"/>
    <n v="0"/>
  </r>
  <r>
    <d v="2026-09-16T17:26:07"/>
    <x v="1"/>
    <x v="7"/>
    <x v="7"/>
    <n v="717609"/>
    <n v="19"/>
    <n v="1250"/>
    <n v="23750"/>
    <n v="4"/>
    <n v="106.94"/>
  </r>
  <r>
    <d v="2026-09-16T17:26:07"/>
    <x v="1"/>
    <x v="7"/>
    <x v="7"/>
    <n v="717605"/>
    <n v="24"/>
    <n v="1250"/>
    <n v="30000"/>
    <n v="4"/>
    <n v="0"/>
  </r>
  <r>
    <d v="2026-09-16T17:26:07"/>
    <x v="2"/>
    <x v="8"/>
    <x v="6"/>
    <n v="718215"/>
    <n v="24"/>
    <n v="2500"/>
    <n v="60000"/>
    <n v="275"/>
    <n v="106.94"/>
  </r>
  <r>
    <d v="2026-09-16T17:26:07"/>
    <x v="2"/>
    <x v="8"/>
    <x v="6"/>
    <n v="718955"/>
    <n v="24"/>
    <n v="2500"/>
    <n v="60000"/>
    <n v="275"/>
    <n v="106.94"/>
  </r>
  <r>
    <d v="2026-09-16T17:26:07"/>
    <x v="2"/>
    <x v="8"/>
    <x v="6"/>
    <n v="718614"/>
    <n v="4"/>
    <n v="2500"/>
    <n v="10000"/>
    <n v="275"/>
    <n v="0"/>
  </r>
  <r>
    <d v="2026-09-16T17:26:07"/>
    <x v="2"/>
    <x v="9"/>
    <x v="6"/>
    <n v="718205"/>
    <n v="21"/>
    <n v="2500"/>
    <n v="52500"/>
    <n v="275"/>
    <n v="106.94"/>
  </r>
  <r>
    <d v="2026-09-16T17:26:07"/>
    <x v="2"/>
    <x v="9"/>
    <x v="6"/>
    <n v="718611"/>
    <n v="10"/>
    <n v="2500"/>
    <n v="25000"/>
    <n v="275"/>
    <n v="0"/>
  </r>
  <r>
    <d v="2026-09-16T17:26:07"/>
    <x v="2"/>
    <x v="10"/>
    <x v="6"/>
    <n v="718203"/>
    <n v="17"/>
    <n v="2500"/>
    <n v="42500"/>
    <n v="275"/>
    <n v="106.94"/>
  </r>
  <r>
    <d v="2026-09-16T17:26:07"/>
    <x v="2"/>
    <x v="10"/>
    <x v="6"/>
    <n v="718952"/>
    <n v="14"/>
    <n v="2500"/>
    <n v="35000"/>
    <n v="275"/>
    <n v="106.94"/>
  </r>
  <r>
    <d v="2026-09-16T17:26:07"/>
    <x v="2"/>
    <x v="10"/>
    <x v="6"/>
    <n v="718612"/>
    <n v="11"/>
    <n v="2500"/>
    <n v="27500"/>
    <n v="275"/>
    <n v="0"/>
  </r>
  <r>
    <d v="2026-09-16T17:26:07"/>
    <x v="2"/>
    <x v="11"/>
    <x v="2"/>
    <n v="718195"/>
    <n v="12"/>
    <n v="1000"/>
    <n v="12000"/>
    <n v="275"/>
    <n v="106.94"/>
  </r>
  <r>
    <d v="2026-09-16T17:26:07"/>
    <x v="2"/>
    <x v="11"/>
    <x v="8"/>
    <n v="718575"/>
    <n v="36"/>
    <n v="1500"/>
    <n v="54000"/>
    <n v="275"/>
    <n v="106.94"/>
  </r>
  <r>
    <d v="2026-09-16T17:26:07"/>
    <x v="2"/>
    <x v="11"/>
    <x v="8"/>
    <n v="710044"/>
    <n v="25"/>
    <n v="1500"/>
    <n v="37500"/>
    <n v="275"/>
    <n v="0"/>
  </r>
  <r>
    <d v="2026-09-16T17:26:07"/>
    <x v="2"/>
    <x v="12"/>
    <x v="2"/>
    <n v="718632"/>
    <n v="17"/>
    <n v="1000"/>
    <n v="17000"/>
    <n v="275"/>
    <n v="106.94"/>
  </r>
  <r>
    <d v="2026-09-16T17:26:07"/>
    <x v="2"/>
    <x v="12"/>
    <x v="2"/>
    <n v="718191"/>
    <n v="36"/>
    <n v="1000"/>
    <n v="36000"/>
    <n v="275"/>
    <n v="106.94"/>
  </r>
  <r>
    <d v="2026-09-16T17:26:07"/>
    <x v="2"/>
    <x v="12"/>
    <x v="2"/>
    <n v="718633"/>
    <n v="20"/>
    <n v="1000"/>
    <n v="20000"/>
    <n v="275"/>
    <n v="0"/>
  </r>
  <r>
    <d v="2026-09-16T17:26:07"/>
    <x v="2"/>
    <x v="13"/>
    <x v="1"/>
    <n v="718891"/>
    <n v="16"/>
    <n v="4500"/>
    <n v="72000"/>
    <n v="275"/>
    <n v="106.94"/>
  </r>
  <r>
    <d v="2026-09-16T17:26:07"/>
    <x v="2"/>
    <x v="13"/>
    <x v="1"/>
    <n v="718896"/>
    <n v="19"/>
    <n v="4500"/>
    <n v="85500"/>
    <n v="275"/>
    <n v="0"/>
  </r>
  <r>
    <d v="2026-09-16T17:26:07"/>
    <x v="3"/>
    <x v="14"/>
    <x v="6"/>
    <n v="718209"/>
    <n v="12"/>
    <n v="2500"/>
    <n v="30000"/>
    <n v="279"/>
    <n v="106.94"/>
  </r>
  <r>
    <d v="2026-09-16T17:26:07"/>
    <x v="3"/>
    <x v="14"/>
    <x v="6"/>
    <n v="718213"/>
    <n v="27"/>
    <n v="2500"/>
    <n v="67500"/>
    <n v="279"/>
    <n v="0"/>
  </r>
  <r>
    <d v="2026-09-16T17:26:07"/>
    <x v="3"/>
    <x v="15"/>
    <x v="9"/>
    <n v="717746"/>
    <n v="42"/>
    <n v="1000"/>
    <n v="42000"/>
    <n v="279"/>
    <n v="106.94"/>
  </r>
  <r>
    <d v="2026-09-16T17:26:07"/>
    <x v="3"/>
    <x v="15"/>
    <x v="3"/>
    <n v="718377"/>
    <n v="14"/>
    <n v="700"/>
    <n v="9800"/>
    <n v="279"/>
    <n v="0"/>
  </r>
  <r>
    <d v="2026-09-16T17:26:07"/>
    <x v="3"/>
    <x v="16"/>
    <x v="2"/>
    <n v="718194"/>
    <n v="15"/>
    <n v="1000"/>
    <n v="15000"/>
    <n v="279"/>
    <n v="106.94"/>
  </r>
  <r>
    <d v="2026-09-16T17:26:07"/>
    <x v="3"/>
    <x v="16"/>
    <x v="2"/>
    <n v="718200"/>
    <n v="22"/>
    <n v="1000"/>
    <n v="22000"/>
    <n v="279"/>
    <n v="106.94"/>
  </r>
  <r>
    <d v="2026-09-16T17:26:07"/>
    <x v="3"/>
    <x v="16"/>
    <x v="3"/>
    <n v="718082"/>
    <n v="19"/>
    <n v="700"/>
    <n v="13300"/>
    <n v="279"/>
    <n v="0"/>
  </r>
  <r>
    <d v="2026-09-16T17:26:07"/>
    <x v="3"/>
    <x v="17"/>
    <x v="10"/>
    <n v="717067"/>
    <n v="36"/>
    <n v="450"/>
    <n v="16200"/>
    <n v="279"/>
    <n v="106.94"/>
  </r>
  <r>
    <d v="2026-09-16T17:26:07"/>
    <x v="3"/>
    <x v="17"/>
    <x v="10"/>
    <n v="717068"/>
    <n v="16"/>
    <n v="450"/>
    <n v="7200"/>
    <n v="279"/>
    <n v="0"/>
  </r>
  <r>
    <d v="2026-09-16T17:26:07"/>
    <x v="3"/>
    <x v="18"/>
    <x v="2"/>
    <n v="718197"/>
    <n v="12"/>
    <n v="1000"/>
    <n v="12000"/>
    <n v="279"/>
    <n v="106.94"/>
  </r>
  <r>
    <d v="2026-09-16T17:26:07"/>
    <x v="3"/>
    <x v="18"/>
    <x v="2"/>
    <n v="718192"/>
    <n v="36"/>
    <n v="1000"/>
    <n v="36000"/>
    <n v="279"/>
    <n v="106.94"/>
  </r>
  <r>
    <d v="2026-09-16T17:26:07"/>
    <x v="3"/>
    <x v="18"/>
    <x v="2"/>
    <n v="718198"/>
    <n v="9"/>
    <n v="1000"/>
    <n v="9000"/>
    <n v="279"/>
    <n v="0"/>
  </r>
  <r>
    <d v="2026-09-16T17:26:07"/>
    <x v="4"/>
    <x v="19"/>
    <x v="6"/>
    <n v="718202"/>
    <n v="36"/>
    <n v="2500"/>
    <n v="90000"/>
    <n v="280"/>
    <n v="106.94"/>
  </r>
  <r>
    <d v="2026-09-16T17:26:07"/>
    <x v="4"/>
    <x v="19"/>
    <x v="6"/>
    <n v="718953"/>
    <n v="31"/>
    <n v="2500"/>
    <n v="77500"/>
    <n v="280"/>
    <n v="106.94"/>
  </r>
  <r>
    <d v="2026-09-16T17:26:07"/>
    <x v="4"/>
    <x v="20"/>
    <x v="11"/>
    <n v="714059"/>
    <n v="1"/>
    <n v="70000"/>
    <n v="70000"/>
    <n v="280"/>
    <n v="201.26999999999998"/>
  </r>
  <r>
    <d v="2026-09-16T17:26:07"/>
    <x v="4"/>
    <x v="20"/>
    <x v="5"/>
    <n v="718719"/>
    <n v="15"/>
    <n v="2500"/>
    <n v="37500"/>
    <n v="280"/>
    <n v="0"/>
  </r>
  <r>
    <d v="2026-09-16T17:26:07"/>
    <x v="4"/>
    <x v="21"/>
    <x v="12"/>
    <n v="718107"/>
    <n v="28"/>
    <n v="2800"/>
    <n v="78400"/>
    <n v="280"/>
    <n v="106.94"/>
  </r>
  <r>
    <d v="2026-09-16T17:26:07"/>
    <x v="4"/>
    <x v="21"/>
    <x v="12"/>
    <n v="718106"/>
    <n v="3"/>
    <n v="2800"/>
    <n v="8400"/>
    <n v="280"/>
    <n v="0"/>
  </r>
  <r>
    <d v="2026-09-16T17:26:07"/>
    <x v="4"/>
    <x v="22"/>
    <x v="7"/>
    <n v="717603"/>
    <n v="21"/>
    <n v="1250"/>
    <n v="26250"/>
    <n v="280"/>
    <n v="106.94"/>
  </r>
  <r>
    <d v="2026-09-16T17:26:07"/>
    <x v="4"/>
    <x v="22"/>
    <x v="7"/>
    <n v="717610"/>
    <n v="24"/>
    <n v="1250"/>
    <n v="30000"/>
    <n v="280"/>
    <n v="0"/>
  </r>
  <r>
    <d v="2026-09-16T17:26:07"/>
    <x v="4"/>
    <x v="23"/>
    <x v="1"/>
    <n v="718894"/>
    <n v="11"/>
    <n v="4500"/>
    <n v="49500"/>
    <n v="280"/>
    <n v="106.94"/>
  </r>
  <r>
    <d v="2026-09-16T17:26:07"/>
    <x v="4"/>
    <x v="23"/>
    <x v="1"/>
    <n v="718898"/>
    <n v="28"/>
    <n v="4500"/>
    <n v="126000"/>
    <n v="280"/>
    <n v="106.94"/>
  </r>
  <r>
    <d v="2026-09-16T17:26:07"/>
    <x v="4"/>
    <x v="23"/>
    <x v="1"/>
    <n v="718886"/>
    <n v="8"/>
    <n v="4500"/>
    <n v="36000"/>
    <n v="280"/>
    <n v="0"/>
  </r>
  <r>
    <d v="2026-09-16T17:26:07"/>
    <x v="4"/>
    <x v="24"/>
    <x v="1"/>
    <n v="718890"/>
    <n v="22"/>
    <n v="4500"/>
    <n v="99000"/>
    <n v="280"/>
    <n v="106.94"/>
  </r>
  <r>
    <d v="2026-09-16T17:26:07"/>
    <x v="4"/>
    <x v="24"/>
    <x v="12"/>
    <n v="718108"/>
    <n v="4"/>
    <n v="2800"/>
    <n v="11200"/>
    <n v="280"/>
    <n v="0"/>
  </r>
  <r>
    <d v="2026-09-16T17:14:26"/>
    <x v="5"/>
    <x v="25"/>
    <x v="13"/>
    <s v="26-35218 ; 52708"/>
    <n v="4"/>
    <n v="300"/>
    <n v="1200"/>
    <n v="327"/>
    <n v="58.800000000000004"/>
  </r>
  <r>
    <d v="2026-09-16T17:15:49"/>
    <x v="5"/>
    <x v="26"/>
    <x v="14"/>
    <s v="26-34866 ; 52708"/>
    <n v="12"/>
    <n v="150"/>
    <n v="1800"/>
    <n v="240"/>
    <n v="153"/>
  </r>
  <r>
    <d v="2026-09-16T17:15:10"/>
    <x v="5"/>
    <x v="27"/>
    <x v="15"/>
    <s v="26-35289 ; 52708"/>
    <n v="7.5"/>
    <n v="300"/>
    <n v="2250"/>
    <n v="197"/>
    <n v="184.5"/>
  </r>
  <r>
    <d v="2026-09-16T17:26:07"/>
    <x v="6"/>
    <x v="28"/>
    <x v="16"/>
    <n v="717733"/>
    <n v="47"/>
    <n v="400"/>
    <n v="18800"/>
    <s v="157+300"/>
    <n v="213.88"/>
  </r>
  <r>
    <d v="2026-09-16T17:26:07"/>
    <x v="6"/>
    <x v="28"/>
    <x v="16"/>
    <n v="717725"/>
    <n v="36"/>
    <n v="400"/>
    <n v="14400"/>
    <s v="157+300"/>
    <n v="213.88"/>
  </r>
  <r>
    <d v="2026-09-16T17:26:07"/>
    <x v="6"/>
    <x v="28"/>
    <x v="16"/>
    <n v="717728"/>
    <n v="49"/>
    <n v="400"/>
    <n v="19600"/>
    <s v="157+300"/>
    <n v="213.88"/>
  </r>
  <r>
    <d v="2026-09-16T17:26:07"/>
    <x v="6"/>
    <x v="28"/>
    <x v="17"/>
    <n v="718870"/>
    <n v="36"/>
    <n v="1300"/>
    <n v="46800"/>
    <s v="157+300"/>
    <n v="106.94"/>
  </r>
  <r>
    <d v="2026-09-16T17:26:07"/>
    <x v="6"/>
    <x v="28"/>
    <x v="18"/>
    <n v="717832"/>
    <n v="1"/>
    <n v="4700"/>
    <n v="4700"/>
    <s v="157+300"/>
    <n v="129.44999999999999"/>
  </r>
  <r>
    <d v="2026-09-16T17:26:07"/>
    <x v="6"/>
    <x v="28"/>
    <x v="18"/>
    <n v="718819"/>
    <n v="1"/>
    <n v="5355"/>
    <n v="5355"/>
    <s v="157+300"/>
    <n v="129.44999999999999"/>
  </r>
  <r>
    <d v="2026-09-16T17:26:07"/>
    <x v="6"/>
    <x v="29"/>
    <x v="19"/>
    <n v="718721"/>
    <n v="36"/>
    <n v="700"/>
    <n v="25200"/>
    <n v="391"/>
    <n v="106.94"/>
  </r>
  <r>
    <d v="2026-09-16T17:26:07"/>
    <x v="6"/>
    <x v="29"/>
    <x v="19"/>
    <n v="718722"/>
    <n v="28"/>
    <n v="700"/>
    <n v="19600"/>
    <n v="391"/>
    <n v="106.94"/>
  </r>
  <r>
    <d v="2026-09-16T17:26:07"/>
    <x v="6"/>
    <x v="29"/>
    <x v="16"/>
    <n v="717723"/>
    <n v="8"/>
    <n v="400"/>
    <n v="3200"/>
    <n v="391"/>
    <n v="213.88"/>
  </r>
  <r>
    <d v="2026-09-16T17:26:07"/>
    <x v="6"/>
    <x v="29"/>
    <x v="20"/>
    <n v="718906"/>
    <n v="27"/>
    <n v="145"/>
    <n v="3915"/>
    <n v="391"/>
    <n v="135.07999999999998"/>
  </r>
  <r>
    <d v="2026-09-16T17:26:07"/>
    <x v="6"/>
    <x v="29"/>
    <x v="21"/>
    <n v="718830"/>
    <n v="3"/>
    <n v="2000"/>
    <n v="6000"/>
    <n v="391"/>
    <n v="0"/>
  </r>
  <r>
    <d v="2026-09-16T17:26:07"/>
    <x v="6"/>
    <x v="29"/>
    <x v="22"/>
    <n v="718779"/>
    <n v="32"/>
    <n v="150"/>
    <n v="4800"/>
    <n v="391"/>
    <n v="106.94"/>
  </r>
  <r>
    <d v="2026-09-16T17:26:07"/>
    <x v="6"/>
    <x v="29"/>
    <x v="18"/>
    <n v="718820"/>
    <n v="1"/>
    <n v="5509"/>
    <n v="5509"/>
    <n v="391"/>
    <n v="129.44999999999999"/>
  </r>
  <r>
    <d v="2026-09-16T17:26:07"/>
    <x v="6"/>
    <x v="30"/>
    <x v="23"/>
    <n v="718615"/>
    <n v="34"/>
    <n v="2450"/>
    <n v="83300"/>
    <s v="190+268"/>
    <n v="106.94"/>
  </r>
  <r>
    <d v="2026-09-16T17:26:07"/>
    <x v="6"/>
    <x v="30"/>
    <x v="16"/>
    <n v="717362"/>
    <n v="5"/>
    <n v="400"/>
    <n v="2000"/>
    <s v="190+268"/>
    <n v="213.88"/>
  </r>
  <r>
    <d v="2026-09-16T17:26:07"/>
    <x v="6"/>
    <x v="30"/>
    <x v="16"/>
    <n v="717724"/>
    <n v="44"/>
    <n v="400"/>
    <n v="17600"/>
    <s v="190+268"/>
    <n v="213.88"/>
  </r>
  <r>
    <d v="2026-09-16T17:26:07"/>
    <x v="6"/>
    <x v="30"/>
    <x v="16"/>
    <n v="717721"/>
    <n v="39"/>
    <n v="400"/>
    <n v="15600"/>
    <s v="190+268"/>
    <n v="213.88"/>
  </r>
  <r>
    <d v="2026-09-16T17:26:07"/>
    <x v="6"/>
    <x v="30"/>
    <x v="20"/>
    <n v="718907"/>
    <n v="8"/>
    <n v="145"/>
    <n v="1160"/>
    <s v="190+268"/>
    <n v="0"/>
  </r>
  <r>
    <d v="2026-09-16T17:26:07"/>
    <x v="6"/>
    <x v="30"/>
    <x v="22"/>
    <n v="718777"/>
    <n v="36"/>
    <n v="150"/>
    <n v="5400"/>
    <s v="190+268"/>
    <n v="106.94"/>
  </r>
  <r>
    <d v="2026-09-16T17:26:07"/>
    <x v="6"/>
    <x v="30"/>
    <x v="22"/>
    <n v="718778"/>
    <n v="30"/>
    <n v="150"/>
    <n v="4500"/>
    <s v="190+268"/>
    <n v="106.94"/>
  </r>
  <r>
    <d v="2026-09-16T17:26:07"/>
    <x v="6"/>
    <x v="30"/>
    <x v="24"/>
    <n v="718758"/>
    <n v="27"/>
    <n v="250"/>
    <n v="6750"/>
    <s v="190+268"/>
    <n v="106.94"/>
  </r>
  <r>
    <d v="2026-09-16T17:26:07"/>
    <x v="6"/>
    <x v="30"/>
    <x v="25"/>
    <n v="717580"/>
    <n v="32"/>
    <n v="520"/>
    <n v="16640"/>
    <s v="190+268"/>
    <n v="135.07999999999998"/>
  </r>
  <r>
    <d v="2026-09-16T17:26:07"/>
    <x v="6"/>
    <x v="30"/>
    <x v="18"/>
    <n v="718814"/>
    <n v="1"/>
    <n v="4950"/>
    <n v="4950"/>
    <s v="190+268"/>
    <n v="129.44999999999999"/>
  </r>
  <r>
    <d v="2026-09-16T17:26:07"/>
    <x v="6"/>
    <x v="30"/>
    <x v="18"/>
    <n v="718816"/>
    <n v="1"/>
    <n v="5590"/>
    <n v="5590"/>
    <s v="190+268"/>
    <n v="129.44999999999999"/>
  </r>
  <r>
    <d v="2026-09-16T17:26:07"/>
    <x v="6"/>
    <x v="31"/>
    <x v="16"/>
    <n v="717735"/>
    <n v="16"/>
    <n v="400"/>
    <n v="6400"/>
    <s v="252+11"/>
    <n v="213.88"/>
  </r>
  <r>
    <d v="2026-09-16T17:26:07"/>
    <x v="6"/>
    <x v="31"/>
    <x v="16"/>
    <n v="717726"/>
    <n v="46"/>
    <n v="400"/>
    <n v="18400"/>
    <s v="252+11"/>
    <n v="213.88"/>
  </r>
  <r>
    <d v="2026-09-16T17:26:07"/>
    <x v="6"/>
    <x v="31"/>
    <x v="16"/>
    <n v="717729"/>
    <n v="35"/>
    <n v="400"/>
    <n v="14000"/>
    <s v="252+11"/>
    <n v="213.88"/>
  </r>
  <r>
    <d v="2026-09-16T17:26:07"/>
    <x v="6"/>
    <x v="31"/>
    <x v="26"/>
    <n v="718871"/>
    <n v="27"/>
    <n v="1200"/>
    <n v="32400"/>
    <s v="252+11"/>
    <n v="106.94"/>
  </r>
  <r>
    <d v="2026-09-16T17:26:07"/>
    <x v="6"/>
    <x v="31"/>
    <x v="26"/>
    <n v="718872"/>
    <n v="14"/>
    <n v="1200"/>
    <n v="16800"/>
    <s v="252+11"/>
    <n v="106.94"/>
  </r>
  <r>
    <d v="2026-09-16T17:26:07"/>
    <x v="6"/>
    <x v="31"/>
    <x v="22"/>
    <n v="718780"/>
    <n v="35"/>
    <n v="150"/>
    <n v="5250"/>
    <s v="252+11"/>
    <n v="106.94"/>
  </r>
  <r>
    <d v="2026-09-16T17:26:07"/>
    <x v="6"/>
    <x v="31"/>
    <x v="24"/>
    <n v="718757"/>
    <n v="39"/>
    <n v="250"/>
    <n v="9750"/>
    <s v="252+11"/>
    <n v="106.94"/>
  </r>
  <r>
    <d v="2026-09-16T17:26:07"/>
    <x v="6"/>
    <x v="31"/>
    <x v="27"/>
    <n v="717880"/>
    <n v="4"/>
    <n v="1200"/>
    <n v="4800"/>
    <s v="252+11"/>
    <n v="106.94"/>
  </r>
  <r>
    <d v="2026-09-16T17:26:07"/>
    <x v="6"/>
    <x v="31"/>
    <x v="25"/>
    <n v="717579"/>
    <n v="15"/>
    <n v="520"/>
    <n v="7800"/>
    <s v="252+11"/>
    <n v="135.07999999999998"/>
  </r>
  <r>
    <d v="2026-09-16T17:26:07"/>
    <x v="6"/>
    <x v="31"/>
    <x v="18"/>
    <n v="718821"/>
    <n v="1"/>
    <n v="5480"/>
    <n v="5480"/>
    <s v="252+11"/>
    <n v="129.44999999999999"/>
  </r>
  <r>
    <d v="2026-09-16T17:26:07"/>
    <x v="6"/>
    <x v="31"/>
    <x v="18"/>
    <n v="718813"/>
    <n v="1"/>
    <n v="5780"/>
    <n v="5780"/>
    <s v="252+11"/>
    <n v="129.44999999999999"/>
  </r>
  <r>
    <d v="2026-09-16T17:26:07"/>
    <x v="6"/>
    <x v="31"/>
    <x v="18"/>
    <n v="718815"/>
    <n v="1"/>
    <n v="6110"/>
    <n v="6110"/>
    <s v="252+11"/>
    <n v="129.44999999999999"/>
  </r>
  <r>
    <d v="2026-09-16T17:26:07"/>
    <x v="6"/>
    <x v="31"/>
    <x v="18"/>
    <n v="718822"/>
    <n v="1"/>
    <n v="4555"/>
    <n v="4555"/>
    <s v="252+11"/>
    <n v="129.44999999999999"/>
  </r>
  <r>
    <d v="2026-09-16T17:26:07"/>
    <x v="7"/>
    <x v="32"/>
    <x v="11"/>
    <n v="707325"/>
    <n v="12"/>
    <n v="1850"/>
    <n v="22200"/>
    <n v="285"/>
    <n v="247.64"/>
  </r>
  <r>
    <d v="2026-09-16T17:26:07"/>
    <x v="7"/>
    <x v="32"/>
    <x v="11"/>
    <n v="710175"/>
    <n v="11"/>
    <n v="1850"/>
    <n v="20350"/>
    <n v="28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68FA4-A062-438D-98CD-E50A75C586C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O103" firstHeaderRow="0" firstDataRow="1" firstDataCol="1"/>
  <pivotFields count="10"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34">
        <item x="8"/>
        <item x="9"/>
        <item x="10"/>
        <item x="14"/>
        <item x="15"/>
        <item x="11"/>
        <item x="16"/>
        <item x="17"/>
        <item x="12"/>
        <item x="1"/>
        <item x="19"/>
        <item x="2"/>
        <item x="3"/>
        <item x="20"/>
        <item x="21"/>
        <item x="22"/>
        <item x="23"/>
        <item x="24"/>
        <item x="25"/>
        <item x="26"/>
        <item x="4"/>
        <item x="5"/>
        <item x="6"/>
        <item x="32"/>
        <item x="18"/>
        <item x="7"/>
        <item x="13"/>
        <item x="27"/>
        <item x="28"/>
        <item x="29"/>
        <item x="30"/>
        <item x="31"/>
        <item x="0"/>
        <item t="default"/>
      </items>
    </pivotField>
    <pivotField axis="axisRow" showAll="0">
      <items count="29">
        <item x="1"/>
        <item x="6"/>
        <item x="19"/>
        <item x="23"/>
        <item x="9"/>
        <item x="16"/>
        <item x="20"/>
        <item x="21"/>
        <item x="5"/>
        <item x="26"/>
        <item x="11"/>
        <item x="17"/>
        <item x="22"/>
        <item x="24"/>
        <item x="4"/>
        <item x="8"/>
        <item x="2"/>
        <item x="12"/>
        <item x="3"/>
        <item x="7"/>
        <item x="10"/>
        <item x="27"/>
        <item x="25"/>
        <item x="13"/>
        <item x="0"/>
        <item x="18"/>
        <item x="14"/>
        <item x="15"/>
        <item t="default"/>
      </items>
    </pivotField>
    <pivotField showAll="0"/>
    <pivotField showAll="0"/>
    <pivotField numFmtId="165" showAll="0"/>
    <pivotField dataField="1" numFmtId="165" showAll="0"/>
    <pivotField showAll="0"/>
    <pivotField dataField="1" numFmtId="43" showAll="0"/>
  </pivotFields>
  <rowFields count="3">
    <field x="1"/>
    <field x="2"/>
    <field x="3"/>
  </rowFields>
  <rowItems count="102">
    <i>
      <x/>
    </i>
    <i r="1">
      <x v="32"/>
    </i>
    <i r="2">
      <x v="24"/>
    </i>
    <i>
      <x v="1"/>
    </i>
    <i r="1">
      <x v="9"/>
    </i>
    <i r="2">
      <x/>
    </i>
    <i r="1">
      <x v="11"/>
    </i>
    <i r="2">
      <x v="16"/>
    </i>
    <i r="1">
      <x v="12"/>
    </i>
    <i r="2">
      <x v="16"/>
    </i>
    <i r="2">
      <x v="18"/>
    </i>
    <i r="1">
      <x v="20"/>
    </i>
    <i r="2">
      <x v="8"/>
    </i>
    <i r="2">
      <x v="14"/>
    </i>
    <i r="1">
      <x v="21"/>
    </i>
    <i r="2">
      <x v="1"/>
    </i>
    <i r="1">
      <x v="22"/>
    </i>
    <i r="2">
      <x v="1"/>
    </i>
    <i r="2">
      <x v="18"/>
    </i>
    <i r="1">
      <x v="25"/>
    </i>
    <i r="2">
      <x v="19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5"/>
    </i>
    <i r="2">
      <x v="15"/>
    </i>
    <i r="2">
      <x v="16"/>
    </i>
    <i r="1">
      <x v="8"/>
    </i>
    <i r="2">
      <x v="16"/>
    </i>
    <i r="1">
      <x v="26"/>
    </i>
    <i r="2">
      <x/>
    </i>
    <i>
      <x v="3"/>
    </i>
    <i r="1">
      <x v="3"/>
    </i>
    <i r="2">
      <x v="1"/>
    </i>
    <i r="1">
      <x v="4"/>
    </i>
    <i r="2">
      <x v="4"/>
    </i>
    <i r="2">
      <x v="18"/>
    </i>
    <i r="1">
      <x v="6"/>
    </i>
    <i r="2">
      <x v="16"/>
    </i>
    <i r="2">
      <x v="18"/>
    </i>
    <i r="1">
      <x v="7"/>
    </i>
    <i r="2">
      <x v="20"/>
    </i>
    <i r="1">
      <x v="24"/>
    </i>
    <i r="2">
      <x v="16"/>
    </i>
    <i>
      <x v="4"/>
    </i>
    <i r="1">
      <x v="10"/>
    </i>
    <i r="2">
      <x v="1"/>
    </i>
    <i r="1">
      <x v="13"/>
    </i>
    <i r="2">
      <x v="8"/>
    </i>
    <i r="2">
      <x v="10"/>
    </i>
    <i r="1">
      <x v="14"/>
    </i>
    <i r="2">
      <x v="17"/>
    </i>
    <i r="1">
      <x v="15"/>
    </i>
    <i r="2">
      <x v="19"/>
    </i>
    <i r="1">
      <x v="16"/>
    </i>
    <i r="2">
      <x/>
    </i>
    <i r="1">
      <x v="17"/>
    </i>
    <i r="2">
      <x/>
    </i>
    <i r="2">
      <x v="17"/>
    </i>
    <i>
      <x v="5"/>
    </i>
    <i r="1">
      <x v="18"/>
    </i>
    <i r="2">
      <x v="23"/>
    </i>
    <i r="1">
      <x v="19"/>
    </i>
    <i r="2">
      <x v="26"/>
    </i>
    <i r="1">
      <x v="27"/>
    </i>
    <i r="2">
      <x v="27"/>
    </i>
    <i>
      <x v="6"/>
    </i>
    <i r="1">
      <x v="28"/>
    </i>
    <i r="2">
      <x v="5"/>
    </i>
    <i r="2">
      <x v="11"/>
    </i>
    <i r="2">
      <x v="25"/>
    </i>
    <i r="1">
      <x v="29"/>
    </i>
    <i r="2">
      <x v="2"/>
    </i>
    <i r="2">
      <x v="5"/>
    </i>
    <i r="2">
      <x v="6"/>
    </i>
    <i r="2">
      <x v="7"/>
    </i>
    <i r="2">
      <x v="12"/>
    </i>
    <i r="2">
      <x v="25"/>
    </i>
    <i r="1">
      <x v="30"/>
    </i>
    <i r="2">
      <x v="3"/>
    </i>
    <i r="2">
      <x v="5"/>
    </i>
    <i r="2">
      <x v="6"/>
    </i>
    <i r="2">
      <x v="12"/>
    </i>
    <i r="2">
      <x v="13"/>
    </i>
    <i r="2">
      <x v="22"/>
    </i>
    <i r="2">
      <x v="25"/>
    </i>
    <i r="1">
      <x v="31"/>
    </i>
    <i r="2">
      <x v="5"/>
    </i>
    <i r="2">
      <x v="9"/>
    </i>
    <i r="2">
      <x v="12"/>
    </i>
    <i r="2">
      <x v="13"/>
    </i>
    <i r="2">
      <x v="21"/>
    </i>
    <i r="2">
      <x v="22"/>
    </i>
    <i r="2">
      <x v="25"/>
    </i>
    <i>
      <x v="7"/>
    </i>
    <i r="1">
      <x v="23"/>
    </i>
    <i r="2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Quantity" fld="7" baseField="0" baseItem="0" numFmtId="165"/>
    <dataField name="Sum of Price" fld="9" baseField="0" baseItem="0" numFmtId="44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4566-160F-4ED4-A2C9-529D32973439}">
  <dimension ref="A1:O104"/>
  <sheetViews>
    <sheetView tabSelected="1" zoomScale="85" zoomScaleNormal="85" workbookViewId="0">
      <selection activeCell="E21" sqref="E21"/>
    </sheetView>
  </sheetViews>
  <sheetFormatPr defaultRowHeight="15" x14ac:dyDescent="0.25"/>
  <cols>
    <col min="1" max="1" width="10.85546875" style="1" bestFit="1" customWidth="1"/>
    <col min="2" max="2" width="21.42578125" customWidth="1"/>
    <col min="3" max="3" width="18" bestFit="1" customWidth="1"/>
    <col min="4" max="4" width="23.140625" bestFit="1" customWidth="1"/>
    <col min="5" max="5" width="19.5703125" bestFit="1" customWidth="1"/>
    <col min="6" max="6" width="17.5703125" bestFit="1" customWidth="1"/>
    <col min="7" max="7" width="15.5703125" bestFit="1" customWidth="1"/>
    <col min="8" max="8" width="16.5703125" bestFit="1" customWidth="1"/>
    <col min="9" max="9" width="12.140625" bestFit="1" customWidth="1"/>
    <col min="10" max="10" width="8.85546875" style="5" bestFit="1" customWidth="1"/>
    <col min="13" max="13" width="29.5703125" bestFit="1" customWidth="1"/>
    <col min="14" max="14" width="22.42578125" bestFit="1" customWidth="1"/>
    <col min="15" max="15" width="13.42578125" bestFit="1" customWidth="1"/>
  </cols>
  <sheetData>
    <row r="1" spans="1:15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5" t="s">
        <v>9</v>
      </c>
      <c r="M1" s="11" t="s">
        <v>10</v>
      </c>
      <c r="N1" s="11" t="s">
        <v>11</v>
      </c>
      <c r="O1" t="s">
        <v>12</v>
      </c>
    </row>
    <row r="2" spans="1:15" x14ac:dyDescent="0.25">
      <c r="A2" s="1">
        <v>46281.716400462959</v>
      </c>
      <c r="B2" t="s">
        <v>13</v>
      </c>
      <c r="C2" t="s">
        <v>14</v>
      </c>
      <c r="D2" t="s">
        <v>15</v>
      </c>
      <c r="E2" t="s">
        <v>16</v>
      </c>
      <c r="F2">
        <v>33</v>
      </c>
      <c r="G2" s="4">
        <v>90</v>
      </c>
      <c r="H2" s="4">
        <v>2990</v>
      </c>
      <c r="I2" t="s">
        <v>17</v>
      </c>
      <c r="J2" s="5">
        <v>269.09999999999997</v>
      </c>
      <c r="M2" s="6" t="s">
        <v>13</v>
      </c>
      <c r="N2" s="4">
        <v>9694</v>
      </c>
      <c r="O2" s="7">
        <v>872.46</v>
      </c>
    </row>
    <row r="3" spans="1:15" x14ac:dyDescent="0.25">
      <c r="A3" s="1">
        <v>46281.716851851852</v>
      </c>
      <c r="B3" t="s">
        <v>13</v>
      </c>
      <c r="C3" t="s">
        <v>14</v>
      </c>
      <c r="D3" t="s">
        <v>15</v>
      </c>
      <c r="E3" t="s">
        <v>16</v>
      </c>
      <c r="F3">
        <v>36</v>
      </c>
      <c r="G3" s="4">
        <v>90</v>
      </c>
      <c r="H3" s="4">
        <v>3265</v>
      </c>
      <c r="I3" t="s">
        <v>17</v>
      </c>
      <c r="J3" s="5">
        <v>293.84999999999997</v>
      </c>
      <c r="M3" s="8" t="s">
        <v>14</v>
      </c>
      <c r="N3" s="4">
        <v>9694</v>
      </c>
      <c r="O3" s="7">
        <v>872.46</v>
      </c>
    </row>
    <row r="4" spans="1:15" x14ac:dyDescent="0.25">
      <c r="A4" s="1">
        <v>46281.717418981483</v>
      </c>
      <c r="B4" t="s">
        <v>13</v>
      </c>
      <c r="C4" t="s">
        <v>14</v>
      </c>
      <c r="D4" t="s">
        <v>15</v>
      </c>
      <c r="E4" t="s">
        <v>16</v>
      </c>
      <c r="F4">
        <v>36</v>
      </c>
      <c r="G4" s="4">
        <v>90</v>
      </c>
      <c r="H4" s="4">
        <v>3259</v>
      </c>
      <c r="I4" t="s">
        <v>17</v>
      </c>
      <c r="J4" s="5">
        <v>293.31</v>
      </c>
      <c r="M4" s="9" t="s">
        <v>15</v>
      </c>
      <c r="N4" s="4">
        <v>9694</v>
      </c>
      <c r="O4" s="7">
        <v>872.46</v>
      </c>
    </row>
    <row r="5" spans="1:15" x14ac:dyDescent="0.25">
      <c r="A5" s="1">
        <v>46281.717743055553</v>
      </c>
      <c r="B5" t="s">
        <v>13</v>
      </c>
      <c r="C5" t="s">
        <v>14</v>
      </c>
      <c r="D5" t="s">
        <v>15</v>
      </c>
      <c r="E5" t="s">
        <v>16</v>
      </c>
      <c r="F5">
        <v>2</v>
      </c>
      <c r="G5" s="4">
        <v>90</v>
      </c>
      <c r="H5" s="4">
        <v>180</v>
      </c>
      <c r="I5" t="s">
        <v>17</v>
      </c>
      <c r="J5" s="5">
        <v>16.2</v>
      </c>
      <c r="M5" s="6" t="s">
        <v>18</v>
      </c>
      <c r="N5" s="4">
        <v>602050</v>
      </c>
      <c r="O5" s="7">
        <v>1069.4000000000001</v>
      </c>
    </row>
    <row r="6" spans="1:15" x14ac:dyDescent="0.25">
      <c r="A6" s="1">
        <v>46281.726469907408</v>
      </c>
      <c r="B6" s="10" t="s">
        <v>18</v>
      </c>
      <c r="C6" t="s">
        <v>19</v>
      </c>
      <c r="D6">
        <v>11546389</v>
      </c>
      <c r="E6">
        <v>718895</v>
      </c>
      <c r="F6">
        <v>21</v>
      </c>
      <c r="G6" s="4">
        <v>4500</v>
      </c>
      <c r="H6" s="4">
        <v>94500</v>
      </c>
      <c r="I6" s="4">
        <v>4</v>
      </c>
      <c r="J6" s="5">
        <v>106.94</v>
      </c>
      <c r="M6" s="8" t="s">
        <v>19</v>
      </c>
      <c r="N6" s="4">
        <v>189000</v>
      </c>
      <c r="O6" s="7">
        <v>213.88</v>
      </c>
    </row>
    <row r="7" spans="1:15" x14ac:dyDescent="0.25">
      <c r="A7" s="1">
        <v>46281.726469907408</v>
      </c>
      <c r="B7" s="10" t="s">
        <v>18</v>
      </c>
      <c r="C7" t="s">
        <v>19</v>
      </c>
      <c r="D7">
        <v>11546389</v>
      </c>
      <c r="E7">
        <v>718887</v>
      </c>
      <c r="F7">
        <v>21</v>
      </c>
      <c r="G7" s="4">
        <v>4500</v>
      </c>
      <c r="H7" s="4">
        <v>94500</v>
      </c>
      <c r="I7" s="4">
        <v>4</v>
      </c>
      <c r="J7" s="5">
        <v>106.94</v>
      </c>
      <c r="M7" s="9">
        <v>11546389</v>
      </c>
      <c r="N7" s="4">
        <v>189000</v>
      </c>
      <c r="O7" s="7">
        <v>213.88</v>
      </c>
    </row>
    <row r="8" spans="1:15" x14ac:dyDescent="0.25">
      <c r="A8" s="1">
        <v>46281.726469907408</v>
      </c>
      <c r="B8" s="10" t="s">
        <v>18</v>
      </c>
      <c r="C8" t="s">
        <v>20</v>
      </c>
      <c r="D8" t="s">
        <v>21</v>
      </c>
      <c r="E8">
        <v>718201</v>
      </c>
      <c r="F8">
        <v>33</v>
      </c>
      <c r="G8" s="4">
        <v>1000</v>
      </c>
      <c r="H8" s="4">
        <v>33000</v>
      </c>
      <c r="I8" s="4">
        <v>4</v>
      </c>
      <c r="J8" s="5">
        <v>106.94</v>
      </c>
      <c r="M8" s="8" t="s">
        <v>20</v>
      </c>
      <c r="N8" s="4">
        <v>44000</v>
      </c>
      <c r="O8" s="7">
        <v>106.94</v>
      </c>
    </row>
    <row r="9" spans="1:15" x14ac:dyDescent="0.25">
      <c r="A9" s="1">
        <v>46281.726469907408</v>
      </c>
      <c r="B9" s="10" t="s">
        <v>18</v>
      </c>
      <c r="C9" t="s">
        <v>20</v>
      </c>
      <c r="D9" t="s">
        <v>21</v>
      </c>
      <c r="E9">
        <v>718634</v>
      </c>
      <c r="F9">
        <v>11</v>
      </c>
      <c r="G9" s="4">
        <v>1000</v>
      </c>
      <c r="H9" s="4">
        <v>11000</v>
      </c>
      <c r="I9" s="4">
        <v>4</v>
      </c>
      <c r="J9" s="5">
        <v>0</v>
      </c>
      <c r="M9" s="9" t="s">
        <v>21</v>
      </c>
      <c r="N9" s="4">
        <v>44000</v>
      </c>
      <c r="O9" s="7">
        <v>106.94</v>
      </c>
    </row>
    <row r="10" spans="1:15" x14ac:dyDescent="0.25">
      <c r="A10" s="1">
        <v>46281.726469907408</v>
      </c>
      <c r="B10" s="10" t="s">
        <v>18</v>
      </c>
      <c r="C10" t="s">
        <v>22</v>
      </c>
      <c r="D10" t="s">
        <v>21</v>
      </c>
      <c r="E10">
        <v>718196</v>
      </c>
      <c r="F10">
        <v>36</v>
      </c>
      <c r="G10" s="4">
        <v>1000</v>
      </c>
      <c r="H10" s="4">
        <v>36000</v>
      </c>
      <c r="I10" s="4">
        <v>4</v>
      </c>
      <c r="J10" s="5">
        <v>106.94</v>
      </c>
      <c r="M10" s="8" t="s">
        <v>22</v>
      </c>
      <c r="N10" s="4">
        <v>93000</v>
      </c>
      <c r="O10" s="7">
        <v>213.88</v>
      </c>
    </row>
    <row r="11" spans="1:15" x14ac:dyDescent="0.25">
      <c r="A11" s="1">
        <v>46281.726469907408</v>
      </c>
      <c r="B11" s="10" t="s">
        <v>18</v>
      </c>
      <c r="C11" t="s">
        <v>22</v>
      </c>
      <c r="D11" t="s">
        <v>21</v>
      </c>
      <c r="E11">
        <v>718190</v>
      </c>
      <c r="F11">
        <v>36</v>
      </c>
      <c r="G11" s="4">
        <v>1000</v>
      </c>
      <c r="H11" s="4">
        <v>36000</v>
      </c>
      <c r="I11" s="4">
        <v>4</v>
      </c>
      <c r="J11" s="5">
        <v>106.94</v>
      </c>
      <c r="M11" s="9" t="s">
        <v>21</v>
      </c>
      <c r="N11" s="4">
        <v>72000</v>
      </c>
      <c r="O11" s="7">
        <v>213.88</v>
      </c>
    </row>
    <row r="12" spans="1:15" x14ac:dyDescent="0.25">
      <c r="A12" s="1">
        <v>46281.726469907408</v>
      </c>
      <c r="B12" s="10" t="s">
        <v>18</v>
      </c>
      <c r="C12" t="s">
        <v>22</v>
      </c>
      <c r="D12" t="s">
        <v>23</v>
      </c>
      <c r="E12">
        <v>718375</v>
      </c>
      <c r="F12">
        <v>30</v>
      </c>
      <c r="G12" s="4">
        <v>700</v>
      </c>
      <c r="H12" s="4">
        <v>21000</v>
      </c>
      <c r="I12" s="4">
        <v>4</v>
      </c>
      <c r="J12" s="5">
        <v>0</v>
      </c>
      <c r="M12" s="9" t="s">
        <v>23</v>
      </c>
      <c r="N12" s="4">
        <v>21000</v>
      </c>
      <c r="O12" s="7">
        <v>0</v>
      </c>
    </row>
    <row r="13" spans="1:15" x14ac:dyDescent="0.25">
      <c r="A13" s="1">
        <v>46281.726469907408</v>
      </c>
      <c r="B13" s="10" t="s">
        <v>18</v>
      </c>
      <c r="C13" t="s">
        <v>24</v>
      </c>
      <c r="D13">
        <v>7151143403</v>
      </c>
      <c r="E13">
        <v>718063</v>
      </c>
      <c r="F13">
        <v>8</v>
      </c>
      <c r="G13" s="4">
        <v>1750</v>
      </c>
      <c r="H13" s="4">
        <v>14000</v>
      </c>
      <c r="I13" s="4">
        <v>4</v>
      </c>
      <c r="J13" s="5">
        <v>106.94</v>
      </c>
      <c r="M13" s="8" t="s">
        <v>24</v>
      </c>
      <c r="N13" s="4">
        <v>41500</v>
      </c>
      <c r="O13" s="7">
        <v>106.94</v>
      </c>
    </row>
    <row r="14" spans="1:15" x14ac:dyDescent="0.25">
      <c r="A14" s="1">
        <v>46281.726469907408</v>
      </c>
      <c r="B14" s="10" t="s">
        <v>18</v>
      </c>
      <c r="C14" t="s">
        <v>24</v>
      </c>
      <c r="D14">
        <v>11610091</v>
      </c>
      <c r="E14">
        <v>718720</v>
      </c>
      <c r="F14">
        <v>11</v>
      </c>
      <c r="G14" s="4">
        <v>2500</v>
      </c>
      <c r="H14" s="4">
        <v>27500</v>
      </c>
      <c r="I14" s="4">
        <v>4</v>
      </c>
      <c r="J14" s="5">
        <v>0</v>
      </c>
      <c r="M14" s="9">
        <v>11610091</v>
      </c>
      <c r="N14" s="4">
        <v>27500</v>
      </c>
      <c r="O14" s="7">
        <v>0</v>
      </c>
    </row>
    <row r="15" spans="1:15" x14ac:dyDescent="0.25">
      <c r="A15" s="1">
        <v>46281.726469907408</v>
      </c>
      <c r="B15" s="10" t="s">
        <v>18</v>
      </c>
      <c r="C15" t="s">
        <v>25</v>
      </c>
      <c r="D15">
        <v>11546449</v>
      </c>
      <c r="E15">
        <v>718220</v>
      </c>
      <c r="F15">
        <v>23</v>
      </c>
      <c r="G15" s="4">
        <v>2500</v>
      </c>
      <c r="H15" s="4">
        <v>57500</v>
      </c>
      <c r="I15" s="4">
        <v>4</v>
      </c>
      <c r="J15" s="5">
        <v>106.94</v>
      </c>
      <c r="M15" s="9">
        <v>7151143403</v>
      </c>
      <c r="N15" s="4">
        <v>14000</v>
      </c>
      <c r="O15" s="7">
        <v>106.94</v>
      </c>
    </row>
    <row r="16" spans="1:15" x14ac:dyDescent="0.25">
      <c r="A16" s="1">
        <v>46281.726469907408</v>
      </c>
      <c r="B16" s="10" t="s">
        <v>18</v>
      </c>
      <c r="C16" t="s">
        <v>25</v>
      </c>
      <c r="D16">
        <v>11546449</v>
      </c>
      <c r="E16">
        <v>718954</v>
      </c>
      <c r="F16">
        <v>2</v>
      </c>
      <c r="G16" s="4">
        <v>2500</v>
      </c>
      <c r="H16" s="4">
        <v>5000</v>
      </c>
      <c r="I16" s="4">
        <v>4</v>
      </c>
      <c r="J16" s="5">
        <v>0</v>
      </c>
      <c r="M16" s="8" t="s">
        <v>25</v>
      </c>
      <c r="N16" s="4">
        <v>62500</v>
      </c>
      <c r="O16" s="7">
        <v>106.94</v>
      </c>
    </row>
    <row r="17" spans="1:15" x14ac:dyDescent="0.25">
      <c r="A17" s="1">
        <v>46281.726469907408</v>
      </c>
      <c r="B17" s="10" t="s">
        <v>18</v>
      </c>
      <c r="C17" t="s">
        <v>26</v>
      </c>
      <c r="D17">
        <v>11546449</v>
      </c>
      <c r="E17">
        <v>718204</v>
      </c>
      <c r="F17">
        <v>6</v>
      </c>
      <c r="G17" s="4">
        <v>2500</v>
      </c>
      <c r="H17" s="4">
        <v>15000</v>
      </c>
      <c r="I17" s="4">
        <v>4</v>
      </c>
      <c r="J17" s="5">
        <v>106.94</v>
      </c>
      <c r="M17" s="9">
        <v>11546449</v>
      </c>
      <c r="N17" s="4">
        <v>62500</v>
      </c>
      <c r="O17" s="7">
        <v>106.94</v>
      </c>
    </row>
    <row r="18" spans="1:15" x14ac:dyDescent="0.25">
      <c r="A18" s="1">
        <v>46281.726469907408</v>
      </c>
      <c r="B18" s="10" t="s">
        <v>18</v>
      </c>
      <c r="C18" t="s">
        <v>26</v>
      </c>
      <c r="D18">
        <v>11546449</v>
      </c>
      <c r="E18">
        <v>718616</v>
      </c>
      <c r="F18">
        <v>36</v>
      </c>
      <c r="G18" s="4">
        <v>2500</v>
      </c>
      <c r="H18" s="4">
        <v>90000</v>
      </c>
      <c r="I18" s="4">
        <v>4</v>
      </c>
      <c r="J18" s="5">
        <v>106.94</v>
      </c>
      <c r="M18" s="8" t="s">
        <v>26</v>
      </c>
      <c r="N18" s="4">
        <v>118300</v>
      </c>
      <c r="O18" s="7">
        <v>213.88</v>
      </c>
    </row>
    <row r="19" spans="1:15" x14ac:dyDescent="0.25">
      <c r="A19" s="1">
        <v>46281.726469907408</v>
      </c>
      <c r="B19" s="10" t="s">
        <v>18</v>
      </c>
      <c r="C19" t="s">
        <v>26</v>
      </c>
      <c r="D19" t="s">
        <v>23</v>
      </c>
      <c r="E19">
        <v>718083</v>
      </c>
      <c r="F19">
        <v>19</v>
      </c>
      <c r="G19" s="4">
        <v>700</v>
      </c>
      <c r="H19" s="4">
        <v>13300</v>
      </c>
      <c r="I19" s="4">
        <v>4</v>
      </c>
      <c r="J19" s="5">
        <v>0</v>
      </c>
      <c r="M19" s="9">
        <v>11546449</v>
      </c>
      <c r="N19" s="4">
        <v>105000</v>
      </c>
      <c r="O19" s="7">
        <v>213.88</v>
      </c>
    </row>
    <row r="20" spans="1:15" x14ac:dyDescent="0.25">
      <c r="A20" s="1">
        <v>46281.726469907408</v>
      </c>
      <c r="B20" s="10" t="s">
        <v>18</v>
      </c>
      <c r="C20" t="s">
        <v>27</v>
      </c>
      <c r="D20" t="s">
        <v>28</v>
      </c>
      <c r="E20">
        <v>717609</v>
      </c>
      <c r="F20">
        <v>19</v>
      </c>
      <c r="G20" s="4">
        <v>1250</v>
      </c>
      <c r="H20" s="4">
        <v>23750</v>
      </c>
      <c r="I20" s="4">
        <v>4</v>
      </c>
      <c r="J20" s="5">
        <v>106.94</v>
      </c>
      <c r="M20" s="9" t="s">
        <v>23</v>
      </c>
      <c r="N20" s="4">
        <v>13300</v>
      </c>
      <c r="O20" s="7">
        <v>0</v>
      </c>
    </row>
    <row r="21" spans="1:15" x14ac:dyDescent="0.25">
      <c r="A21" s="1">
        <v>46281.726469907408</v>
      </c>
      <c r="B21" s="10" t="s">
        <v>18</v>
      </c>
      <c r="C21" t="s">
        <v>27</v>
      </c>
      <c r="D21" t="s">
        <v>28</v>
      </c>
      <c r="E21">
        <v>717605</v>
      </c>
      <c r="F21">
        <v>24</v>
      </c>
      <c r="G21" s="4">
        <v>1250</v>
      </c>
      <c r="H21" s="4">
        <v>30000</v>
      </c>
      <c r="I21" s="4">
        <v>4</v>
      </c>
      <c r="J21" s="5">
        <v>0</v>
      </c>
      <c r="M21" s="8" t="s">
        <v>27</v>
      </c>
      <c r="N21" s="4">
        <v>53750</v>
      </c>
      <c r="O21" s="7">
        <v>106.94</v>
      </c>
    </row>
    <row r="22" spans="1:15" x14ac:dyDescent="0.25">
      <c r="A22" s="1">
        <v>46281.726469907408</v>
      </c>
      <c r="B22" s="10" t="s">
        <v>29</v>
      </c>
      <c r="C22" t="s">
        <v>30</v>
      </c>
      <c r="D22">
        <v>11546449</v>
      </c>
      <c r="E22">
        <v>718215</v>
      </c>
      <c r="F22">
        <v>24</v>
      </c>
      <c r="G22" s="4">
        <v>2500</v>
      </c>
      <c r="H22" s="4">
        <v>60000</v>
      </c>
      <c r="I22" s="4">
        <v>275</v>
      </c>
      <c r="J22" s="5">
        <v>106.94</v>
      </c>
      <c r="M22" s="9" t="s">
        <v>28</v>
      </c>
      <c r="N22" s="4">
        <v>53750</v>
      </c>
      <c r="O22" s="7">
        <v>106.94</v>
      </c>
    </row>
    <row r="23" spans="1:15" x14ac:dyDescent="0.25">
      <c r="A23" s="1">
        <v>46281.726469907408</v>
      </c>
      <c r="B23" s="10" t="s">
        <v>29</v>
      </c>
      <c r="C23" t="s">
        <v>30</v>
      </c>
      <c r="D23">
        <v>11546449</v>
      </c>
      <c r="E23">
        <v>718955</v>
      </c>
      <c r="F23">
        <v>24</v>
      </c>
      <c r="G23" s="4">
        <v>2500</v>
      </c>
      <c r="H23" s="4">
        <v>60000</v>
      </c>
      <c r="I23" s="4">
        <v>275</v>
      </c>
      <c r="J23" s="5">
        <v>106.94</v>
      </c>
      <c r="M23" s="6" t="s">
        <v>29</v>
      </c>
      <c r="N23" s="4">
        <v>646500</v>
      </c>
      <c r="O23" s="7">
        <v>1069.4000000000001</v>
      </c>
    </row>
    <row r="24" spans="1:15" x14ac:dyDescent="0.25">
      <c r="A24" s="1">
        <v>46281.726469907408</v>
      </c>
      <c r="B24" s="10" t="s">
        <v>29</v>
      </c>
      <c r="C24" t="s">
        <v>30</v>
      </c>
      <c r="D24">
        <v>11546449</v>
      </c>
      <c r="E24">
        <v>718614</v>
      </c>
      <c r="F24">
        <v>4</v>
      </c>
      <c r="G24" s="4">
        <v>2500</v>
      </c>
      <c r="H24" s="4">
        <v>10000</v>
      </c>
      <c r="I24" s="4">
        <v>275</v>
      </c>
      <c r="J24" s="5">
        <v>0</v>
      </c>
      <c r="M24" s="8" t="s">
        <v>30</v>
      </c>
      <c r="N24" s="4">
        <v>130000</v>
      </c>
      <c r="O24" s="7">
        <v>213.88</v>
      </c>
    </row>
    <row r="25" spans="1:15" x14ac:dyDescent="0.25">
      <c r="A25" s="1">
        <v>46281.726469907408</v>
      </c>
      <c r="B25" s="10" t="s">
        <v>29</v>
      </c>
      <c r="C25" t="s">
        <v>31</v>
      </c>
      <c r="D25">
        <v>11546449</v>
      </c>
      <c r="E25">
        <v>718205</v>
      </c>
      <c r="F25">
        <v>21</v>
      </c>
      <c r="G25" s="4">
        <v>2500</v>
      </c>
      <c r="H25" s="4">
        <v>52500</v>
      </c>
      <c r="I25" s="4">
        <v>275</v>
      </c>
      <c r="J25" s="5">
        <v>106.94</v>
      </c>
      <c r="M25" s="9">
        <v>11546449</v>
      </c>
      <c r="N25" s="4">
        <v>130000</v>
      </c>
      <c r="O25" s="7">
        <v>213.88</v>
      </c>
    </row>
    <row r="26" spans="1:15" x14ac:dyDescent="0.25">
      <c r="A26" s="1">
        <v>46281.726469907408</v>
      </c>
      <c r="B26" s="10" t="s">
        <v>29</v>
      </c>
      <c r="C26" t="s">
        <v>31</v>
      </c>
      <c r="D26">
        <v>11546449</v>
      </c>
      <c r="E26">
        <v>718611</v>
      </c>
      <c r="F26">
        <v>10</v>
      </c>
      <c r="G26" s="4">
        <v>2500</v>
      </c>
      <c r="H26" s="4">
        <v>25000</v>
      </c>
      <c r="I26" s="4">
        <v>275</v>
      </c>
      <c r="J26" s="5">
        <v>0</v>
      </c>
      <c r="M26" s="8" t="s">
        <v>31</v>
      </c>
      <c r="N26" s="4">
        <v>77500</v>
      </c>
      <c r="O26" s="7">
        <v>106.94</v>
      </c>
    </row>
    <row r="27" spans="1:15" x14ac:dyDescent="0.25">
      <c r="A27" s="1">
        <v>46281.726469907408</v>
      </c>
      <c r="B27" s="10" t="s">
        <v>29</v>
      </c>
      <c r="C27" t="s">
        <v>32</v>
      </c>
      <c r="D27">
        <v>11546449</v>
      </c>
      <c r="E27">
        <v>718203</v>
      </c>
      <c r="F27">
        <v>17</v>
      </c>
      <c r="G27" s="4">
        <v>2500</v>
      </c>
      <c r="H27" s="4">
        <v>42500</v>
      </c>
      <c r="I27" s="4">
        <v>275</v>
      </c>
      <c r="J27" s="5">
        <v>106.94</v>
      </c>
      <c r="M27" s="9">
        <v>11546449</v>
      </c>
      <c r="N27" s="4">
        <v>77500</v>
      </c>
      <c r="O27" s="7">
        <v>106.94</v>
      </c>
    </row>
    <row r="28" spans="1:15" x14ac:dyDescent="0.25">
      <c r="A28" s="1">
        <v>46281.726469907408</v>
      </c>
      <c r="B28" s="10" t="s">
        <v>29</v>
      </c>
      <c r="C28" t="s">
        <v>32</v>
      </c>
      <c r="D28">
        <v>11546449</v>
      </c>
      <c r="E28">
        <v>718952</v>
      </c>
      <c r="F28">
        <v>14</v>
      </c>
      <c r="G28" s="4">
        <v>2500</v>
      </c>
      <c r="H28" s="4">
        <v>35000</v>
      </c>
      <c r="I28" s="4">
        <v>275</v>
      </c>
      <c r="J28" s="5">
        <v>106.94</v>
      </c>
      <c r="M28" s="8" t="s">
        <v>32</v>
      </c>
      <c r="N28" s="4">
        <v>105000</v>
      </c>
      <c r="O28" s="7">
        <v>213.88</v>
      </c>
    </row>
    <row r="29" spans="1:15" x14ac:dyDescent="0.25">
      <c r="A29" s="1">
        <v>46281.726469907408</v>
      </c>
      <c r="B29" s="10" t="s">
        <v>29</v>
      </c>
      <c r="C29" t="s">
        <v>32</v>
      </c>
      <c r="D29">
        <v>11546449</v>
      </c>
      <c r="E29">
        <v>718612</v>
      </c>
      <c r="F29">
        <v>11</v>
      </c>
      <c r="G29" s="4">
        <v>2500</v>
      </c>
      <c r="H29" s="4">
        <v>27500</v>
      </c>
      <c r="I29" s="4">
        <v>275</v>
      </c>
      <c r="J29" s="5">
        <v>0</v>
      </c>
      <c r="M29" s="9">
        <v>11546449</v>
      </c>
      <c r="N29" s="4">
        <v>105000</v>
      </c>
      <c r="O29" s="7">
        <v>213.88</v>
      </c>
    </row>
    <row r="30" spans="1:15" x14ac:dyDescent="0.25">
      <c r="A30" s="1">
        <v>46281.726469907408</v>
      </c>
      <c r="B30" s="10" t="s">
        <v>29</v>
      </c>
      <c r="C30" t="s">
        <v>33</v>
      </c>
      <c r="D30" t="s">
        <v>21</v>
      </c>
      <c r="E30">
        <v>718195</v>
      </c>
      <c r="F30">
        <v>12</v>
      </c>
      <c r="G30" s="4">
        <v>1000</v>
      </c>
      <c r="H30" s="4">
        <v>12000</v>
      </c>
      <c r="I30" s="4">
        <v>275</v>
      </c>
      <c r="J30" s="5">
        <v>106.94</v>
      </c>
      <c r="M30" s="8" t="s">
        <v>33</v>
      </c>
      <c r="N30" s="4">
        <v>103500</v>
      </c>
      <c r="O30" s="7">
        <v>213.88</v>
      </c>
    </row>
    <row r="31" spans="1:15" x14ac:dyDescent="0.25">
      <c r="A31" s="1">
        <v>46281.726469907408</v>
      </c>
      <c r="B31" s="10" t="s">
        <v>29</v>
      </c>
      <c r="C31" t="s">
        <v>33</v>
      </c>
      <c r="D31" t="s">
        <v>34</v>
      </c>
      <c r="E31">
        <v>718575</v>
      </c>
      <c r="F31">
        <v>36</v>
      </c>
      <c r="G31" s="4">
        <v>1500</v>
      </c>
      <c r="H31" s="4">
        <v>54000</v>
      </c>
      <c r="I31" s="4">
        <v>275</v>
      </c>
      <c r="J31" s="5">
        <v>106.94</v>
      </c>
      <c r="M31" s="9" t="s">
        <v>34</v>
      </c>
      <c r="N31" s="4">
        <v>91500</v>
      </c>
      <c r="O31" s="7">
        <v>106.94</v>
      </c>
    </row>
    <row r="32" spans="1:15" x14ac:dyDescent="0.25">
      <c r="A32" s="1">
        <v>46281.726469907408</v>
      </c>
      <c r="B32" s="10" t="s">
        <v>29</v>
      </c>
      <c r="C32" t="s">
        <v>33</v>
      </c>
      <c r="D32" t="s">
        <v>34</v>
      </c>
      <c r="E32">
        <v>710044</v>
      </c>
      <c r="F32">
        <v>25</v>
      </c>
      <c r="G32" s="4">
        <v>1500</v>
      </c>
      <c r="H32" s="4">
        <v>37500</v>
      </c>
      <c r="I32" s="4">
        <v>275</v>
      </c>
      <c r="J32" s="5">
        <v>0</v>
      </c>
      <c r="M32" s="9" t="s">
        <v>21</v>
      </c>
      <c r="N32" s="4">
        <v>12000</v>
      </c>
      <c r="O32" s="7">
        <v>106.94</v>
      </c>
    </row>
    <row r="33" spans="1:15" x14ac:dyDescent="0.25">
      <c r="A33" s="1">
        <v>46281.726469907408</v>
      </c>
      <c r="B33" s="10" t="s">
        <v>29</v>
      </c>
      <c r="C33" t="s">
        <v>35</v>
      </c>
      <c r="D33" t="s">
        <v>21</v>
      </c>
      <c r="E33">
        <v>718632</v>
      </c>
      <c r="F33">
        <v>17</v>
      </c>
      <c r="G33" s="4">
        <v>1000</v>
      </c>
      <c r="H33" s="4">
        <v>17000</v>
      </c>
      <c r="I33" s="4">
        <v>275</v>
      </c>
      <c r="J33" s="5">
        <v>106.94</v>
      </c>
      <c r="M33" s="8" t="s">
        <v>35</v>
      </c>
      <c r="N33" s="4">
        <v>73000</v>
      </c>
      <c r="O33" s="7">
        <v>213.88</v>
      </c>
    </row>
    <row r="34" spans="1:15" x14ac:dyDescent="0.25">
      <c r="A34" s="1">
        <v>46281.726469907408</v>
      </c>
      <c r="B34" s="10" t="s">
        <v>29</v>
      </c>
      <c r="C34" t="s">
        <v>35</v>
      </c>
      <c r="D34" t="s">
        <v>21</v>
      </c>
      <c r="E34">
        <v>718191</v>
      </c>
      <c r="F34">
        <v>36</v>
      </c>
      <c r="G34" s="4">
        <v>1000</v>
      </c>
      <c r="H34" s="4">
        <v>36000</v>
      </c>
      <c r="I34" s="4">
        <v>275</v>
      </c>
      <c r="J34" s="5">
        <v>106.94</v>
      </c>
      <c r="M34" s="9" t="s">
        <v>21</v>
      </c>
      <c r="N34" s="4">
        <v>73000</v>
      </c>
      <c r="O34" s="7">
        <v>213.88</v>
      </c>
    </row>
    <row r="35" spans="1:15" x14ac:dyDescent="0.25">
      <c r="A35" s="1">
        <v>46281.726469907408</v>
      </c>
      <c r="B35" s="10" t="s">
        <v>29</v>
      </c>
      <c r="C35" t="s">
        <v>35</v>
      </c>
      <c r="D35" t="s">
        <v>21</v>
      </c>
      <c r="E35">
        <v>718633</v>
      </c>
      <c r="F35">
        <v>20</v>
      </c>
      <c r="G35" s="4">
        <v>1000</v>
      </c>
      <c r="H35" s="4">
        <v>20000</v>
      </c>
      <c r="I35" s="4">
        <v>275</v>
      </c>
      <c r="J35" s="5">
        <v>0</v>
      </c>
      <c r="M35" s="8" t="s">
        <v>36</v>
      </c>
      <c r="N35" s="4">
        <v>157500</v>
      </c>
      <c r="O35" s="7">
        <v>106.94</v>
      </c>
    </row>
    <row r="36" spans="1:15" x14ac:dyDescent="0.25">
      <c r="A36" s="1">
        <v>46281.726469907408</v>
      </c>
      <c r="B36" s="10" t="s">
        <v>29</v>
      </c>
      <c r="C36" t="s">
        <v>36</v>
      </c>
      <c r="D36">
        <v>11546389</v>
      </c>
      <c r="E36">
        <v>718891</v>
      </c>
      <c r="F36">
        <v>16</v>
      </c>
      <c r="G36" s="4">
        <v>4500</v>
      </c>
      <c r="H36" s="4">
        <v>72000</v>
      </c>
      <c r="I36" s="4">
        <v>275</v>
      </c>
      <c r="J36" s="5">
        <v>106.94</v>
      </c>
      <c r="M36" s="9">
        <v>11546389</v>
      </c>
      <c r="N36" s="4">
        <v>157500</v>
      </c>
      <c r="O36" s="7">
        <v>106.94</v>
      </c>
    </row>
    <row r="37" spans="1:15" x14ac:dyDescent="0.25">
      <c r="A37" s="1">
        <v>46281.726469907408</v>
      </c>
      <c r="B37" s="10" t="s">
        <v>29</v>
      </c>
      <c r="C37" t="s">
        <v>36</v>
      </c>
      <c r="D37">
        <v>11546389</v>
      </c>
      <c r="E37">
        <v>718896</v>
      </c>
      <c r="F37">
        <v>19</v>
      </c>
      <c r="G37" s="4">
        <v>4500</v>
      </c>
      <c r="H37" s="4">
        <v>85500</v>
      </c>
      <c r="I37" s="4">
        <v>275</v>
      </c>
      <c r="J37" s="5">
        <v>0</v>
      </c>
      <c r="M37" s="6" t="s">
        <v>37</v>
      </c>
      <c r="N37" s="4">
        <v>280000</v>
      </c>
      <c r="O37" s="7">
        <v>748.58</v>
      </c>
    </row>
    <row r="38" spans="1:15" x14ac:dyDescent="0.25">
      <c r="A38" s="1">
        <v>46281.726469907408</v>
      </c>
      <c r="B38" s="10" t="s">
        <v>37</v>
      </c>
      <c r="C38" t="s">
        <v>38</v>
      </c>
      <c r="D38">
        <v>11546449</v>
      </c>
      <c r="E38">
        <v>718209</v>
      </c>
      <c r="F38">
        <v>12</v>
      </c>
      <c r="G38" s="4">
        <v>2500</v>
      </c>
      <c r="H38" s="4">
        <v>30000</v>
      </c>
      <c r="I38" s="4">
        <v>279</v>
      </c>
      <c r="J38" s="5">
        <v>106.94</v>
      </c>
      <c r="M38" s="8" t="s">
        <v>38</v>
      </c>
      <c r="N38" s="4">
        <v>97500</v>
      </c>
      <c r="O38" s="7">
        <v>106.94</v>
      </c>
    </row>
    <row r="39" spans="1:15" x14ac:dyDescent="0.25">
      <c r="A39" s="1">
        <v>46281.726469907408</v>
      </c>
      <c r="B39" s="10" t="s">
        <v>37</v>
      </c>
      <c r="C39" t="s">
        <v>38</v>
      </c>
      <c r="D39">
        <v>11546449</v>
      </c>
      <c r="E39">
        <v>718213</v>
      </c>
      <c r="F39">
        <v>27</v>
      </c>
      <c r="G39" s="4">
        <v>2500</v>
      </c>
      <c r="H39" s="4">
        <v>67500</v>
      </c>
      <c r="I39" s="4">
        <v>279</v>
      </c>
      <c r="J39" s="5">
        <v>0</v>
      </c>
      <c r="M39" s="9">
        <v>11546449</v>
      </c>
      <c r="N39" s="4">
        <v>97500</v>
      </c>
      <c r="O39" s="7">
        <v>106.94</v>
      </c>
    </row>
    <row r="40" spans="1:15" x14ac:dyDescent="0.25">
      <c r="A40" s="1">
        <v>46281.726469907408</v>
      </c>
      <c r="B40" s="10" t="s">
        <v>37</v>
      </c>
      <c r="C40" t="s">
        <v>39</v>
      </c>
      <c r="D40">
        <v>11549168</v>
      </c>
      <c r="E40">
        <v>717746</v>
      </c>
      <c r="F40">
        <v>42</v>
      </c>
      <c r="G40" s="4">
        <v>1000</v>
      </c>
      <c r="H40" s="4">
        <v>42000</v>
      </c>
      <c r="I40" s="4">
        <v>279</v>
      </c>
      <c r="J40" s="5">
        <v>106.94</v>
      </c>
      <c r="M40" s="8" t="s">
        <v>39</v>
      </c>
      <c r="N40" s="4">
        <v>51800</v>
      </c>
      <c r="O40" s="7">
        <v>106.94</v>
      </c>
    </row>
    <row r="41" spans="1:15" x14ac:dyDescent="0.25">
      <c r="A41" s="1">
        <v>46281.726469907408</v>
      </c>
      <c r="B41" s="10" t="s">
        <v>37</v>
      </c>
      <c r="C41" t="s">
        <v>39</v>
      </c>
      <c r="D41" t="s">
        <v>23</v>
      </c>
      <c r="E41">
        <v>718377</v>
      </c>
      <c r="F41">
        <v>14</v>
      </c>
      <c r="G41" s="4">
        <v>700</v>
      </c>
      <c r="H41" s="4">
        <v>9800</v>
      </c>
      <c r="I41" s="4">
        <v>279</v>
      </c>
      <c r="J41" s="5">
        <v>0</v>
      </c>
      <c r="M41" s="9">
        <v>11549168</v>
      </c>
      <c r="N41" s="4">
        <v>42000</v>
      </c>
      <c r="O41" s="7">
        <v>106.94</v>
      </c>
    </row>
    <row r="42" spans="1:15" x14ac:dyDescent="0.25">
      <c r="A42" s="1">
        <v>46281.726469907408</v>
      </c>
      <c r="B42" s="10" t="s">
        <v>37</v>
      </c>
      <c r="C42" t="s">
        <v>40</v>
      </c>
      <c r="D42" t="s">
        <v>21</v>
      </c>
      <c r="E42">
        <v>718194</v>
      </c>
      <c r="F42">
        <v>15</v>
      </c>
      <c r="G42" s="4">
        <v>1000</v>
      </c>
      <c r="H42" s="4">
        <v>15000</v>
      </c>
      <c r="I42" s="4">
        <v>279</v>
      </c>
      <c r="J42" s="5">
        <v>106.94</v>
      </c>
      <c r="M42" s="9" t="s">
        <v>23</v>
      </c>
      <c r="N42" s="4">
        <v>9800</v>
      </c>
      <c r="O42" s="7">
        <v>0</v>
      </c>
    </row>
    <row r="43" spans="1:15" x14ac:dyDescent="0.25">
      <c r="A43" s="1">
        <v>46281.726469907408</v>
      </c>
      <c r="B43" s="10" t="s">
        <v>37</v>
      </c>
      <c r="C43" t="s">
        <v>40</v>
      </c>
      <c r="D43" t="s">
        <v>21</v>
      </c>
      <c r="E43">
        <v>718200</v>
      </c>
      <c r="F43">
        <v>22</v>
      </c>
      <c r="G43" s="4">
        <v>1000</v>
      </c>
      <c r="H43" s="4">
        <v>22000</v>
      </c>
      <c r="I43" s="4">
        <v>279</v>
      </c>
      <c r="J43" s="5">
        <v>106.94</v>
      </c>
      <c r="M43" s="8" t="s">
        <v>40</v>
      </c>
      <c r="N43" s="4">
        <v>50300</v>
      </c>
      <c r="O43" s="7">
        <v>213.88</v>
      </c>
    </row>
    <row r="44" spans="1:15" x14ac:dyDescent="0.25">
      <c r="A44" s="1">
        <v>46281.726469907408</v>
      </c>
      <c r="B44" s="10" t="s">
        <v>37</v>
      </c>
      <c r="C44" t="s">
        <v>40</v>
      </c>
      <c r="D44" t="s">
        <v>23</v>
      </c>
      <c r="E44">
        <v>718082</v>
      </c>
      <c r="F44">
        <v>19</v>
      </c>
      <c r="G44" s="4">
        <v>700</v>
      </c>
      <c r="H44" s="4">
        <v>13300</v>
      </c>
      <c r="I44" s="4">
        <v>279</v>
      </c>
      <c r="J44" s="5">
        <v>0</v>
      </c>
      <c r="M44" s="9" t="s">
        <v>21</v>
      </c>
      <c r="N44" s="4">
        <v>37000</v>
      </c>
      <c r="O44" s="7">
        <v>213.88</v>
      </c>
    </row>
    <row r="45" spans="1:15" x14ac:dyDescent="0.25">
      <c r="A45" s="1">
        <v>46281.726469907408</v>
      </c>
      <c r="B45" s="10" t="s">
        <v>37</v>
      </c>
      <c r="C45" t="s">
        <v>41</v>
      </c>
      <c r="D45" t="s">
        <v>42</v>
      </c>
      <c r="E45">
        <v>717067</v>
      </c>
      <c r="F45">
        <v>36</v>
      </c>
      <c r="G45" s="4">
        <v>450</v>
      </c>
      <c r="H45" s="4">
        <v>16200</v>
      </c>
      <c r="I45" s="4">
        <v>279</v>
      </c>
      <c r="J45" s="5">
        <v>106.94</v>
      </c>
      <c r="M45" s="9" t="s">
        <v>23</v>
      </c>
      <c r="N45" s="4">
        <v>13300</v>
      </c>
      <c r="O45" s="7">
        <v>0</v>
      </c>
    </row>
    <row r="46" spans="1:15" x14ac:dyDescent="0.25">
      <c r="A46" s="1">
        <v>46281.726469907408</v>
      </c>
      <c r="B46" s="10" t="s">
        <v>37</v>
      </c>
      <c r="C46" t="s">
        <v>41</v>
      </c>
      <c r="D46" t="s">
        <v>42</v>
      </c>
      <c r="E46">
        <v>717068</v>
      </c>
      <c r="F46">
        <v>16</v>
      </c>
      <c r="G46" s="4">
        <v>450</v>
      </c>
      <c r="H46" s="4">
        <v>7200</v>
      </c>
      <c r="I46" s="4">
        <v>279</v>
      </c>
      <c r="J46" s="5">
        <v>0</v>
      </c>
      <c r="M46" s="8" t="s">
        <v>41</v>
      </c>
      <c r="N46" s="4">
        <v>23400</v>
      </c>
      <c r="O46" s="7">
        <v>106.94</v>
      </c>
    </row>
    <row r="47" spans="1:15" x14ac:dyDescent="0.25">
      <c r="A47" s="1">
        <v>46281.726469907408</v>
      </c>
      <c r="B47" s="10" t="s">
        <v>37</v>
      </c>
      <c r="C47" t="s">
        <v>43</v>
      </c>
      <c r="D47" t="s">
        <v>21</v>
      </c>
      <c r="E47">
        <v>718197</v>
      </c>
      <c r="F47">
        <v>12</v>
      </c>
      <c r="G47" s="4">
        <v>1000</v>
      </c>
      <c r="H47" s="4">
        <v>12000</v>
      </c>
      <c r="I47" s="4">
        <v>279</v>
      </c>
      <c r="J47" s="5">
        <v>106.94</v>
      </c>
      <c r="M47" s="9" t="s">
        <v>42</v>
      </c>
      <c r="N47" s="4">
        <v>23400</v>
      </c>
      <c r="O47" s="7">
        <v>106.94</v>
      </c>
    </row>
    <row r="48" spans="1:15" x14ac:dyDescent="0.25">
      <c r="A48" s="1">
        <v>46281.726469907408</v>
      </c>
      <c r="B48" s="10" t="s">
        <v>37</v>
      </c>
      <c r="C48" t="s">
        <v>43</v>
      </c>
      <c r="D48" t="s">
        <v>21</v>
      </c>
      <c r="E48">
        <v>718192</v>
      </c>
      <c r="F48">
        <v>36</v>
      </c>
      <c r="G48" s="4">
        <v>1000</v>
      </c>
      <c r="H48" s="4">
        <v>36000</v>
      </c>
      <c r="I48" s="4">
        <v>279</v>
      </c>
      <c r="J48" s="5">
        <v>106.94</v>
      </c>
      <c r="M48" s="8" t="s">
        <v>43</v>
      </c>
      <c r="N48" s="4">
        <v>57000</v>
      </c>
      <c r="O48" s="7">
        <v>213.88</v>
      </c>
    </row>
    <row r="49" spans="1:15" x14ac:dyDescent="0.25">
      <c r="A49" s="1">
        <v>46281.726469907408</v>
      </c>
      <c r="B49" s="10" t="s">
        <v>37</v>
      </c>
      <c r="C49" t="s">
        <v>43</v>
      </c>
      <c r="D49" t="s">
        <v>21</v>
      </c>
      <c r="E49">
        <v>718198</v>
      </c>
      <c r="F49">
        <v>9</v>
      </c>
      <c r="G49" s="4">
        <v>1000</v>
      </c>
      <c r="H49" s="4">
        <v>9000</v>
      </c>
      <c r="I49" s="4">
        <v>279</v>
      </c>
      <c r="J49" s="5">
        <v>0</v>
      </c>
      <c r="M49" s="9" t="s">
        <v>21</v>
      </c>
      <c r="N49" s="4">
        <v>57000</v>
      </c>
      <c r="O49" s="7">
        <v>213.88</v>
      </c>
    </row>
    <row r="50" spans="1:15" x14ac:dyDescent="0.25">
      <c r="A50" s="1">
        <v>46281.726469907408</v>
      </c>
      <c r="B50" s="10" t="s">
        <v>44</v>
      </c>
      <c r="C50" t="s">
        <v>45</v>
      </c>
      <c r="D50">
        <v>11546449</v>
      </c>
      <c r="E50">
        <v>718202</v>
      </c>
      <c r="F50">
        <v>36</v>
      </c>
      <c r="G50" s="4">
        <v>2500</v>
      </c>
      <c r="H50" s="4">
        <v>90000</v>
      </c>
      <c r="I50" s="4">
        <v>280</v>
      </c>
      <c r="J50" s="5">
        <v>106.94</v>
      </c>
      <c r="M50" s="6" t="s">
        <v>44</v>
      </c>
      <c r="N50" s="4">
        <v>739750</v>
      </c>
      <c r="O50" s="7">
        <v>949.84999999999991</v>
      </c>
    </row>
    <row r="51" spans="1:15" x14ac:dyDescent="0.25">
      <c r="A51" s="1">
        <v>46281.726469907408</v>
      </c>
      <c r="B51" s="10" t="s">
        <v>44</v>
      </c>
      <c r="C51" t="s">
        <v>45</v>
      </c>
      <c r="D51">
        <v>11546449</v>
      </c>
      <c r="E51">
        <v>718953</v>
      </c>
      <c r="F51">
        <v>31</v>
      </c>
      <c r="G51" s="4">
        <v>2500</v>
      </c>
      <c r="H51" s="4">
        <v>77500</v>
      </c>
      <c r="I51" s="4">
        <v>280</v>
      </c>
      <c r="J51" s="5">
        <v>106.94</v>
      </c>
      <c r="M51" s="8" t="s">
        <v>45</v>
      </c>
      <c r="N51" s="4">
        <v>167500</v>
      </c>
      <c r="O51" s="7">
        <v>213.88</v>
      </c>
    </row>
    <row r="52" spans="1:15" x14ac:dyDescent="0.25">
      <c r="A52" s="1">
        <v>46281.726469907408</v>
      </c>
      <c r="B52" s="10" t="s">
        <v>44</v>
      </c>
      <c r="C52" t="s">
        <v>46</v>
      </c>
      <c r="D52">
        <v>11612078</v>
      </c>
      <c r="E52">
        <v>714059</v>
      </c>
      <c r="F52">
        <v>1</v>
      </c>
      <c r="G52" s="4">
        <v>70000</v>
      </c>
      <c r="H52" s="4">
        <f>+G52</f>
        <v>70000</v>
      </c>
      <c r="I52" s="4">
        <v>280</v>
      </c>
      <c r="J52" s="5">
        <f>77.67+123.6</f>
        <v>201.26999999999998</v>
      </c>
      <c r="M52" s="9">
        <v>11546449</v>
      </c>
      <c r="N52" s="4">
        <v>167500</v>
      </c>
      <c r="O52" s="7">
        <v>213.88</v>
      </c>
    </row>
    <row r="53" spans="1:15" x14ac:dyDescent="0.25">
      <c r="A53" s="1">
        <v>46281.726469907408</v>
      </c>
      <c r="B53" s="10" t="s">
        <v>44</v>
      </c>
      <c r="C53" t="s">
        <v>46</v>
      </c>
      <c r="D53">
        <v>11610091</v>
      </c>
      <c r="E53">
        <v>718719</v>
      </c>
      <c r="F53">
        <v>15</v>
      </c>
      <c r="G53" s="4">
        <v>2500</v>
      </c>
      <c r="H53" s="4">
        <v>37500</v>
      </c>
      <c r="I53" s="4">
        <v>280</v>
      </c>
      <c r="J53" s="5">
        <v>0</v>
      </c>
      <c r="M53" s="8" t="s">
        <v>46</v>
      </c>
      <c r="N53" s="4">
        <v>107500</v>
      </c>
      <c r="O53" s="7">
        <v>201.26999999999998</v>
      </c>
    </row>
    <row r="54" spans="1:15" x14ac:dyDescent="0.25">
      <c r="A54" s="1">
        <v>46281.726469907408</v>
      </c>
      <c r="B54" s="10" t="s">
        <v>44</v>
      </c>
      <c r="C54" t="s">
        <v>47</v>
      </c>
      <c r="D54" t="s">
        <v>48</v>
      </c>
      <c r="E54">
        <v>718107</v>
      </c>
      <c r="F54">
        <v>28</v>
      </c>
      <c r="G54" s="4">
        <v>2800</v>
      </c>
      <c r="H54" s="4">
        <v>78400</v>
      </c>
      <c r="I54" s="4">
        <v>280</v>
      </c>
      <c r="J54" s="5">
        <v>106.94</v>
      </c>
      <c r="M54" s="9">
        <v>11610091</v>
      </c>
      <c r="N54" s="4">
        <v>37500</v>
      </c>
      <c r="O54" s="7">
        <v>0</v>
      </c>
    </row>
    <row r="55" spans="1:15" x14ac:dyDescent="0.25">
      <c r="A55" s="1">
        <v>46281.726469907408</v>
      </c>
      <c r="B55" s="10" t="s">
        <v>44</v>
      </c>
      <c r="C55" t="s">
        <v>47</v>
      </c>
      <c r="D55" t="s">
        <v>48</v>
      </c>
      <c r="E55">
        <v>718106</v>
      </c>
      <c r="F55">
        <v>3</v>
      </c>
      <c r="G55" s="4">
        <v>2800</v>
      </c>
      <c r="H55" s="4">
        <v>8400</v>
      </c>
      <c r="I55" s="4">
        <v>280</v>
      </c>
      <c r="J55" s="5">
        <v>0</v>
      </c>
      <c r="M55" s="9">
        <v>11612078</v>
      </c>
      <c r="N55" s="4">
        <v>70000</v>
      </c>
      <c r="O55" s="7">
        <v>201.26999999999998</v>
      </c>
    </row>
    <row r="56" spans="1:15" x14ac:dyDescent="0.25">
      <c r="A56" s="1">
        <v>46281.726469907408</v>
      </c>
      <c r="B56" s="10" t="s">
        <v>44</v>
      </c>
      <c r="C56" t="s">
        <v>49</v>
      </c>
      <c r="D56" t="s">
        <v>28</v>
      </c>
      <c r="E56">
        <v>717603</v>
      </c>
      <c r="F56">
        <v>21</v>
      </c>
      <c r="G56" s="4">
        <v>1250</v>
      </c>
      <c r="H56" s="4">
        <v>26250</v>
      </c>
      <c r="I56" s="4">
        <v>280</v>
      </c>
      <c r="J56" s="5">
        <v>106.94</v>
      </c>
      <c r="M56" s="8" t="s">
        <v>47</v>
      </c>
      <c r="N56" s="4">
        <v>86800</v>
      </c>
      <c r="O56" s="7">
        <v>106.94</v>
      </c>
    </row>
    <row r="57" spans="1:15" x14ac:dyDescent="0.25">
      <c r="A57" s="1">
        <v>46281.726469907408</v>
      </c>
      <c r="B57" s="10" t="s">
        <v>44</v>
      </c>
      <c r="C57" t="s">
        <v>49</v>
      </c>
      <c r="D57" t="s">
        <v>28</v>
      </c>
      <c r="E57">
        <v>717610</v>
      </c>
      <c r="F57">
        <v>24</v>
      </c>
      <c r="G57" s="4">
        <v>1250</v>
      </c>
      <c r="H57" s="4">
        <v>30000</v>
      </c>
      <c r="I57" s="4">
        <v>280</v>
      </c>
      <c r="J57" s="5">
        <v>0</v>
      </c>
      <c r="M57" s="9" t="s">
        <v>48</v>
      </c>
      <c r="N57" s="4">
        <v>86800</v>
      </c>
      <c r="O57" s="7">
        <v>106.94</v>
      </c>
    </row>
    <row r="58" spans="1:15" x14ac:dyDescent="0.25">
      <c r="A58" s="1">
        <v>46281.726469907408</v>
      </c>
      <c r="B58" s="10" t="s">
        <v>44</v>
      </c>
      <c r="C58" t="s">
        <v>50</v>
      </c>
      <c r="D58">
        <v>11546389</v>
      </c>
      <c r="E58">
        <v>718894</v>
      </c>
      <c r="F58">
        <v>11</v>
      </c>
      <c r="G58" s="4">
        <v>4500</v>
      </c>
      <c r="H58" s="4">
        <v>49500</v>
      </c>
      <c r="I58" s="4">
        <v>280</v>
      </c>
      <c r="J58" s="5">
        <v>106.94</v>
      </c>
      <c r="M58" s="8" t="s">
        <v>49</v>
      </c>
      <c r="N58" s="4">
        <v>56250</v>
      </c>
      <c r="O58" s="7">
        <v>106.94</v>
      </c>
    </row>
    <row r="59" spans="1:15" x14ac:dyDescent="0.25">
      <c r="A59" s="1">
        <v>46281.726469907408</v>
      </c>
      <c r="B59" s="10" t="s">
        <v>44</v>
      </c>
      <c r="C59" t="s">
        <v>50</v>
      </c>
      <c r="D59">
        <v>11546389</v>
      </c>
      <c r="E59">
        <v>718898</v>
      </c>
      <c r="F59">
        <v>28</v>
      </c>
      <c r="G59" s="4">
        <v>4500</v>
      </c>
      <c r="H59" s="4">
        <v>126000</v>
      </c>
      <c r="I59" s="4">
        <v>280</v>
      </c>
      <c r="J59" s="5">
        <v>106.94</v>
      </c>
      <c r="M59" s="9" t="s">
        <v>28</v>
      </c>
      <c r="N59" s="4">
        <v>56250</v>
      </c>
      <c r="O59" s="7">
        <v>106.94</v>
      </c>
    </row>
    <row r="60" spans="1:15" x14ac:dyDescent="0.25">
      <c r="A60" s="1">
        <v>46281.726469907408</v>
      </c>
      <c r="B60" s="10" t="s">
        <v>44</v>
      </c>
      <c r="C60" t="s">
        <v>50</v>
      </c>
      <c r="D60">
        <v>11546389</v>
      </c>
      <c r="E60">
        <v>718886</v>
      </c>
      <c r="F60">
        <v>8</v>
      </c>
      <c r="G60" s="4">
        <v>4500</v>
      </c>
      <c r="H60" s="4">
        <v>36000</v>
      </c>
      <c r="I60" s="4">
        <v>280</v>
      </c>
      <c r="J60" s="5">
        <v>0</v>
      </c>
      <c r="M60" s="8" t="s">
        <v>50</v>
      </c>
      <c r="N60" s="4">
        <v>211500</v>
      </c>
      <c r="O60" s="7">
        <v>213.88</v>
      </c>
    </row>
    <row r="61" spans="1:15" x14ac:dyDescent="0.25">
      <c r="A61" s="1">
        <v>46281.726469907408</v>
      </c>
      <c r="B61" s="10" t="s">
        <v>44</v>
      </c>
      <c r="C61" t="s">
        <v>51</v>
      </c>
      <c r="D61">
        <v>11546389</v>
      </c>
      <c r="E61">
        <v>718890</v>
      </c>
      <c r="F61">
        <v>22</v>
      </c>
      <c r="G61" s="4">
        <v>4500</v>
      </c>
      <c r="H61" s="4">
        <v>99000</v>
      </c>
      <c r="I61" s="4">
        <v>280</v>
      </c>
      <c r="J61" s="5">
        <v>106.94</v>
      </c>
      <c r="M61" s="9">
        <v>11546389</v>
      </c>
      <c r="N61" s="4">
        <v>211500</v>
      </c>
      <c r="O61" s="7">
        <v>213.88</v>
      </c>
    </row>
    <row r="62" spans="1:15" x14ac:dyDescent="0.25">
      <c r="A62" s="1">
        <v>46281.726469907408</v>
      </c>
      <c r="B62" s="10" t="s">
        <v>44</v>
      </c>
      <c r="C62" t="s">
        <v>51</v>
      </c>
      <c r="D62" t="s">
        <v>48</v>
      </c>
      <c r="E62">
        <v>718108</v>
      </c>
      <c r="F62">
        <v>4</v>
      </c>
      <c r="G62" s="4">
        <v>2800</v>
      </c>
      <c r="H62" s="4">
        <v>11200</v>
      </c>
      <c r="I62" s="4">
        <v>280</v>
      </c>
      <c r="J62" s="5">
        <v>0</v>
      </c>
      <c r="M62" s="8" t="s">
        <v>51</v>
      </c>
      <c r="N62" s="4">
        <v>110200</v>
      </c>
      <c r="O62" s="7">
        <v>106.94</v>
      </c>
    </row>
    <row r="63" spans="1:15" x14ac:dyDescent="0.25">
      <c r="A63" s="1">
        <v>46281.718356481484</v>
      </c>
      <c r="B63" t="s">
        <v>52</v>
      </c>
      <c r="C63" t="s">
        <v>53</v>
      </c>
      <c r="D63" t="s">
        <v>54</v>
      </c>
      <c r="E63" t="s">
        <v>55</v>
      </c>
      <c r="F63">
        <v>4</v>
      </c>
      <c r="G63" s="4">
        <v>300</v>
      </c>
      <c r="H63" s="4">
        <v>1200</v>
      </c>
      <c r="I63">
        <v>327</v>
      </c>
      <c r="J63" s="5">
        <v>58.800000000000004</v>
      </c>
      <c r="M63" s="9">
        <v>11546389</v>
      </c>
      <c r="N63" s="4">
        <v>99000</v>
      </c>
      <c r="O63" s="7">
        <v>106.94</v>
      </c>
    </row>
    <row r="64" spans="1:15" x14ac:dyDescent="0.25">
      <c r="A64" s="1">
        <v>46281.719317129631</v>
      </c>
      <c r="B64" t="s">
        <v>52</v>
      </c>
      <c r="C64" t="s">
        <v>56</v>
      </c>
      <c r="D64" t="s">
        <v>57</v>
      </c>
      <c r="E64" t="s">
        <v>58</v>
      </c>
      <c r="F64">
        <v>12</v>
      </c>
      <c r="G64" s="4">
        <v>150</v>
      </c>
      <c r="H64" s="4">
        <v>1800</v>
      </c>
      <c r="I64">
        <v>240</v>
      </c>
      <c r="J64" s="5">
        <v>153</v>
      </c>
      <c r="M64" s="9" t="s">
        <v>48</v>
      </c>
      <c r="N64" s="4">
        <v>11200</v>
      </c>
      <c r="O64" s="7">
        <v>0</v>
      </c>
    </row>
    <row r="65" spans="1:15" x14ac:dyDescent="0.25">
      <c r="A65" s="1">
        <v>46281.718865740739</v>
      </c>
      <c r="B65" t="s">
        <v>52</v>
      </c>
      <c r="C65" t="s">
        <v>59</v>
      </c>
      <c r="D65" t="s">
        <v>60</v>
      </c>
      <c r="E65" t="s">
        <v>61</v>
      </c>
      <c r="F65">
        <v>7.5</v>
      </c>
      <c r="G65" s="4">
        <v>300</v>
      </c>
      <c r="H65" s="4">
        <v>2250</v>
      </c>
      <c r="I65">
        <v>197</v>
      </c>
      <c r="J65" s="5">
        <v>184.5</v>
      </c>
      <c r="M65" s="6" t="s">
        <v>52</v>
      </c>
      <c r="N65" s="4">
        <v>5250</v>
      </c>
      <c r="O65" s="7">
        <v>396.3</v>
      </c>
    </row>
    <row r="66" spans="1:15" x14ac:dyDescent="0.25">
      <c r="A66" s="1">
        <v>46281.726469907408</v>
      </c>
      <c r="B66" s="10" t="s">
        <v>62</v>
      </c>
      <c r="C66" t="s">
        <v>63</v>
      </c>
      <c r="D66">
        <v>11549170</v>
      </c>
      <c r="E66">
        <v>717733</v>
      </c>
      <c r="F66">
        <v>47</v>
      </c>
      <c r="G66" s="4">
        <v>400</v>
      </c>
      <c r="H66" s="4">
        <v>18800</v>
      </c>
      <c r="I66" s="4" t="s">
        <v>64</v>
      </c>
      <c r="J66" s="5">
        <f>106.94*2</f>
        <v>213.88</v>
      </c>
      <c r="M66" s="8" t="s">
        <v>53</v>
      </c>
      <c r="N66" s="4">
        <v>1200</v>
      </c>
      <c r="O66" s="7">
        <v>58.800000000000004</v>
      </c>
    </row>
    <row r="67" spans="1:15" x14ac:dyDescent="0.25">
      <c r="A67" s="1">
        <v>46281.726469907408</v>
      </c>
      <c r="B67" s="10" t="s">
        <v>62</v>
      </c>
      <c r="C67" t="s">
        <v>63</v>
      </c>
      <c r="D67">
        <v>11549170</v>
      </c>
      <c r="E67">
        <v>717725</v>
      </c>
      <c r="F67">
        <v>36</v>
      </c>
      <c r="G67" s="4">
        <v>400</v>
      </c>
      <c r="H67" s="4">
        <v>14400</v>
      </c>
      <c r="I67" s="4" t="s">
        <v>64</v>
      </c>
      <c r="J67" s="5">
        <f>106.94*2</f>
        <v>213.88</v>
      </c>
      <c r="M67" s="9" t="s">
        <v>54</v>
      </c>
      <c r="N67" s="4">
        <v>1200</v>
      </c>
      <c r="O67" s="7">
        <v>58.800000000000004</v>
      </c>
    </row>
    <row r="68" spans="1:15" x14ac:dyDescent="0.25">
      <c r="A68" s="1">
        <v>46281.726469907408</v>
      </c>
      <c r="B68" s="10" t="s">
        <v>62</v>
      </c>
      <c r="C68" t="s">
        <v>63</v>
      </c>
      <c r="D68">
        <v>11549170</v>
      </c>
      <c r="E68">
        <v>717728</v>
      </c>
      <c r="F68">
        <v>49</v>
      </c>
      <c r="G68" s="4">
        <v>400</v>
      </c>
      <c r="H68" s="4">
        <v>19600</v>
      </c>
      <c r="I68" s="4" t="s">
        <v>64</v>
      </c>
      <c r="J68" s="5">
        <f>106.94*2</f>
        <v>213.88</v>
      </c>
      <c r="M68" s="8" t="s">
        <v>56</v>
      </c>
      <c r="N68" s="4">
        <v>1800</v>
      </c>
      <c r="O68" s="7">
        <v>153</v>
      </c>
    </row>
    <row r="69" spans="1:15" x14ac:dyDescent="0.25">
      <c r="A69" s="1">
        <v>46281.726469907408</v>
      </c>
      <c r="B69" s="10" t="s">
        <v>62</v>
      </c>
      <c r="C69" t="s">
        <v>63</v>
      </c>
      <c r="D69">
        <v>22800396</v>
      </c>
      <c r="E69">
        <v>718870</v>
      </c>
      <c r="F69">
        <v>36</v>
      </c>
      <c r="G69" s="4">
        <v>1300</v>
      </c>
      <c r="H69" s="4">
        <v>46800</v>
      </c>
      <c r="I69" s="4" t="s">
        <v>64</v>
      </c>
      <c r="J69" s="5">
        <v>106.94</v>
      </c>
      <c r="M69" s="9" t="s">
        <v>57</v>
      </c>
      <c r="N69" s="4">
        <v>1800</v>
      </c>
      <c r="O69" s="7">
        <v>153</v>
      </c>
    </row>
    <row r="70" spans="1:15" x14ac:dyDescent="0.25">
      <c r="A70" s="1">
        <v>46281.726469907408</v>
      </c>
      <c r="B70" s="10" t="s">
        <v>62</v>
      </c>
      <c r="C70" t="s">
        <v>63</v>
      </c>
      <c r="D70" t="s">
        <v>65</v>
      </c>
      <c r="E70">
        <v>717832</v>
      </c>
      <c r="F70">
        <v>1</v>
      </c>
      <c r="G70" s="4">
        <v>4700</v>
      </c>
      <c r="H70" s="4">
        <v>4700</v>
      </c>
      <c r="I70" s="4" t="s">
        <v>64</v>
      </c>
      <c r="J70" s="5">
        <v>129.44999999999999</v>
      </c>
      <c r="M70" s="8" t="s">
        <v>59</v>
      </c>
      <c r="N70" s="4">
        <v>2250</v>
      </c>
      <c r="O70" s="7">
        <v>184.5</v>
      </c>
    </row>
    <row r="71" spans="1:15" x14ac:dyDescent="0.25">
      <c r="A71" s="1">
        <v>46281.726469907408</v>
      </c>
      <c r="B71" s="10" t="s">
        <v>62</v>
      </c>
      <c r="C71" t="s">
        <v>63</v>
      </c>
      <c r="D71" t="s">
        <v>65</v>
      </c>
      <c r="E71">
        <v>718819</v>
      </c>
      <c r="F71">
        <v>1</v>
      </c>
      <c r="G71" s="4">
        <v>5355</v>
      </c>
      <c r="H71" s="4">
        <v>5355</v>
      </c>
      <c r="I71" s="4" t="s">
        <v>64</v>
      </c>
      <c r="J71" s="5">
        <v>129.44999999999999</v>
      </c>
      <c r="M71" s="9" t="s">
        <v>60</v>
      </c>
      <c r="N71" s="4">
        <v>2250</v>
      </c>
      <c r="O71" s="7">
        <v>184.5</v>
      </c>
    </row>
    <row r="72" spans="1:15" x14ac:dyDescent="0.25">
      <c r="A72" s="1">
        <v>46281.726469907408</v>
      </c>
      <c r="B72" s="10" t="s">
        <v>62</v>
      </c>
      <c r="C72" t="s">
        <v>66</v>
      </c>
      <c r="D72">
        <v>11546593</v>
      </c>
      <c r="E72">
        <v>718721</v>
      </c>
      <c r="F72">
        <v>36</v>
      </c>
      <c r="G72" s="4">
        <v>700</v>
      </c>
      <c r="H72" s="4">
        <v>25200</v>
      </c>
      <c r="I72" s="4">
        <v>391</v>
      </c>
      <c r="J72" s="5">
        <v>106.94</v>
      </c>
      <c r="M72" s="6" t="s">
        <v>62</v>
      </c>
      <c r="N72" s="4">
        <v>478894</v>
      </c>
      <c r="O72" s="7">
        <v>5099.3099999999986</v>
      </c>
    </row>
    <row r="73" spans="1:15" x14ac:dyDescent="0.25">
      <c r="A73" s="1">
        <v>46281.726469907408</v>
      </c>
      <c r="B73" s="10" t="s">
        <v>62</v>
      </c>
      <c r="C73" t="s">
        <v>66</v>
      </c>
      <c r="D73">
        <v>11546593</v>
      </c>
      <c r="E73">
        <v>718722</v>
      </c>
      <c r="F73">
        <v>28</v>
      </c>
      <c r="G73" s="4">
        <v>700</v>
      </c>
      <c r="H73" s="4">
        <v>19600</v>
      </c>
      <c r="I73" s="4">
        <v>391</v>
      </c>
      <c r="J73" s="5">
        <v>106.94</v>
      </c>
      <c r="M73" s="8" t="s">
        <v>63</v>
      </c>
      <c r="N73" s="4">
        <v>109655</v>
      </c>
      <c r="O73" s="7">
        <v>1007.4799999999999</v>
      </c>
    </row>
    <row r="74" spans="1:15" x14ac:dyDescent="0.25">
      <c r="A74" s="1">
        <v>46281.726469907408</v>
      </c>
      <c r="B74" s="10" t="s">
        <v>62</v>
      </c>
      <c r="C74" t="s">
        <v>66</v>
      </c>
      <c r="D74">
        <v>11549170</v>
      </c>
      <c r="E74">
        <v>717723</v>
      </c>
      <c r="F74">
        <v>8</v>
      </c>
      <c r="G74" s="4">
        <v>400</v>
      </c>
      <c r="H74" s="4">
        <v>3200</v>
      </c>
      <c r="I74" s="4">
        <v>391</v>
      </c>
      <c r="J74" s="5">
        <f>106.94*2</f>
        <v>213.88</v>
      </c>
      <c r="M74" s="9">
        <v>11549170</v>
      </c>
      <c r="N74" s="4">
        <v>52800</v>
      </c>
      <c r="O74" s="7">
        <v>641.64</v>
      </c>
    </row>
    <row r="75" spans="1:15" x14ac:dyDescent="0.25">
      <c r="A75" s="1">
        <v>46281.726469907408</v>
      </c>
      <c r="B75" s="10" t="s">
        <v>62</v>
      </c>
      <c r="C75" t="s">
        <v>66</v>
      </c>
      <c r="D75">
        <v>11602031</v>
      </c>
      <c r="E75">
        <v>718906</v>
      </c>
      <c r="F75">
        <v>27</v>
      </c>
      <c r="G75" s="4">
        <v>145</v>
      </c>
      <c r="H75" s="4">
        <v>3915</v>
      </c>
      <c r="I75" s="4">
        <v>391</v>
      </c>
      <c r="J75" s="5">
        <v>135.07999999999998</v>
      </c>
      <c r="M75" s="9">
        <v>22800396</v>
      </c>
      <c r="N75" s="4">
        <v>46800</v>
      </c>
      <c r="O75" s="7">
        <v>106.94</v>
      </c>
    </row>
    <row r="76" spans="1:15" x14ac:dyDescent="0.25">
      <c r="A76" s="1">
        <v>46281.726469907408</v>
      </c>
      <c r="B76" s="10" t="s">
        <v>62</v>
      </c>
      <c r="C76" t="s">
        <v>66</v>
      </c>
      <c r="D76">
        <v>11609280</v>
      </c>
      <c r="E76">
        <v>718830</v>
      </c>
      <c r="F76">
        <v>3</v>
      </c>
      <c r="G76" s="4">
        <v>2000</v>
      </c>
      <c r="H76" s="4">
        <v>6000</v>
      </c>
      <c r="I76" s="4">
        <v>391</v>
      </c>
      <c r="J76" s="5">
        <v>0</v>
      </c>
      <c r="M76" s="9" t="s">
        <v>65</v>
      </c>
      <c r="N76" s="4">
        <v>10055</v>
      </c>
      <c r="O76" s="7">
        <v>258.89999999999998</v>
      </c>
    </row>
    <row r="77" spans="1:15" x14ac:dyDescent="0.25">
      <c r="A77" s="1">
        <v>46281.726469907408</v>
      </c>
      <c r="B77" s="10" t="s">
        <v>62</v>
      </c>
      <c r="C77" t="s">
        <v>66</v>
      </c>
      <c r="D77">
        <v>40073474</v>
      </c>
      <c r="E77">
        <v>718779</v>
      </c>
      <c r="F77">
        <v>32</v>
      </c>
      <c r="G77" s="4">
        <v>150</v>
      </c>
      <c r="H77" s="4">
        <v>4800</v>
      </c>
      <c r="I77" s="4">
        <v>391</v>
      </c>
      <c r="J77" s="5">
        <v>106.94</v>
      </c>
      <c r="M77" s="8" t="s">
        <v>66</v>
      </c>
      <c r="N77" s="4">
        <v>68224</v>
      </c>
      <c r="O77" s="7">
        <v>799.23</v>
      </c>
    </row>
    <row r="78" spans="1:15" x14ac:dyDescent="0.25">
      <c r="A78" s="1">
        <v>46281.726469907408</v>
      </c>
      <c r="B78" s="10" t="s">
        <v>62</v>
      </c>
      <c r="C78" t="s">
        <v>66</v>
      </c>
      <c r="D78" t="s">
        <v>65</v>
      </c>
      <c r="E78">
        <v>718820</v>
      </c>
      <c r="F78">
        <v>1</v>
      </c>
      <c r="G78" s="4">
        <v>5509</v>
      </c>
      <c r="H78" s="4">
        <v>5509</v>
      </c>
      <c r="I78" s="4">
        <v>391</v>
      </c>
      <c r="J78" s="5">
        <v>129.44999999999999</v>
      </c>
      <c r="M78" s="9">
        <v>11546593</v>
      </c>
      <c r="N78" s="4">
        <v>44800</v>
      </c>
      <c r="O78" s="7">
        <v>213.88</v>
      </c>
    </row>
    <row r="79" spans="1:15" x14ac:dyDescent="0.25">
      <c r="A79" s="1">
        <v>46281.726469907408</v>
      </c>
      <c r="B79" s="10" t="s">
        <v>62</v>
      </c>
      <c r="C79" t="s">
        <v>67</v>
      </c>
      <c r="D79">
        <v>11549058</v>
      </c>
      <c r="E79">
        <v>718615</v>
      </c>
      <c r="F79">
        <v>34</v>
      </c>
      <c r="G79" s="4">
        <v>2450</v>
      </c>
      <c r="H79" s="4">
        <v>83300</v>
      </c>
      <c r="I79" s="4" t="s">
        <v>68</v>
      </c>
      <c r="J79" s="5">
        <v>106.94</v>
      </c>
      <c r="M79" s="9">
        <v>11549170</v>
      </c>
      <c r="N79" s="4">
        <v>3200</v>
      </c>
      <c r="O79" s="7">
        <v>213.88</v>
      </c>
    </row>
    <row r="80" spans="1:15" x14ac:dyDescent="0.25">
      <c r="A80" s="1">
        <v>46281.726469907408</v>
      </c>
      <c r="B80" s="10" t="s">
        <v>62</v>
      </c>
      <c r="C80" t="s">
        <v>67</v>
      </c>
      <c r="D80">
        <v>11549170</v>
      </c>
      <c r="E80">
        <v>717362</v>
      </c>
      <c r="F80">
        <v>5</v>
      </c>
      <c r="G80" s="4">
        <v>400</v>
      </c>
      <c r="H80" s="4">
        <v>2000</v>
      </c>
      <c r="I80" s="4" t="s">
        <v>68</v>
      </c>
      <c r="J80" s="5">
        <f>106.94*2</f>
        <v>213.88</v>
      </c>
      <c r="M80" s="9">
        <v>11602031</v>
      </c>
      <c r="N80" s="4">
        <v>3915</v>
      </c>
      <c r="O80" s="7">
        <v>135.07999999999998</v>
      </c>
    </row>
    <row r="81" spans="1:15" x14ac:dyDescent="0.25">
      <c r="A81" s="1">
        <v>46281.726469907408</v>
      </c>
      <c r="B81" s="10" t="s">
        <v>62</v>
      </c>
      <c r="C81" t="s">
        <v>67</v>
      </c>
      <c r="D81">
        <v>11549170</v>
      </c>
      <c r="E81">
        <v>717724</v>
      </c>
      <c r="F81">
        <v>44</v>
      </c>
      <c r="G81" s="4">
        <v>400</v>
      </c>
      <c r="H81" s="4">
        <v>17600</v>
      </c>
      <c r="I81" s="4" t="s">
        <v>68</v>
      </c>
      <c r="J81" s="5">
        <f>106.94*2</f>
        <v>213.88</v>
      </c>
      <c r="M81" s="9">
        <v>11609280</v>
      </c>
      <c r="N81" s="4">
        <v>6000</v>
      </c>
      <c r="O81" s="7">
        <v>0</v>
      </c>
    </row>
    <row r="82" spans="1:15" x14ac:dyDescent="0.25">
      <c r="A82" s="1">
        <v>46281.726469907408</v>
      </c>
      <c r="B82" s="10" t="s">
        <v>62</v>
      </c>
      <c r="C82" t="s">
        <v>67</v>
      </c>
      <c r="D82">
        <v>11549170</v>
      </c>
      <c r="E82">
        <v>717721</v>
      </c>
      <c r="F82">
        <v>39</v>
      </c>
      <c r="G82" s="4">
        <v>400</v>
      </c>
      <c r="H82" s="4">
        <v>15600</v>
      </c>
      <c r="I82" s="4" t="s">
        <v>68</v>
      </c>
      <c r="J82" s="5">
        <f>106.94*2</f>
        <v>213.88</v>
      </c>
      <c r="M82" s="9">
        <v>40073474</v>
      </c>
      <c r="N82" s="4">
        <v>4800</v>
      </c>
      <c r="O82" s="7">
        <v>106.94</v>
      </c>
    </row>
    <row r="83" spans="1:15" x14ac:dyDescent="0.25">
      <c r="A83" s="1">
        <v>46281.726469907408</v>
      </c>
      <c r="B83" s="10" t="s">
        <v>62</v>
      </c>
      <c r="C83" t="s">
        <v>67</v>
      </c>
      <c r="D83">
        <v>11602031</v>
      </c>
      <c r="E83">
        <v>718907</v>
      </c>
      <c r="F83">
        <v>8</v>
      </c>
      <c r="G83" s="4">
        <v>145</v>
      </c>
      <c r="H83" s="4">
        <v>1160</v>
      </c>
      <c r="I83" s="4" t="s">
        <v>68</v>
      </c>
      <c r="J83" s="5">
        <v>0</v>
      </c>
      <c r="M83" s="9" t="s">
        <v>65</v>
      </c>
      <c r="N83" s="4">
        <v>5509</v>
      </c>
      <c r="O83" s="7">
        <v>129.44999999999999</v>
      </c>
    </row>
    <row r="84" spans="1:15" x14ac:dyDescent="0.25">
      <c r="A84" s="1">
        <v>46281.726469907408</v>
      </c>
      <c r="B84" s="10" t="s">
        <v>62</v>
      </c>
      <c r="C84" t="s">
        <v>67</v>
      </c>
      <c r="D84">
        <v>40073474</v>
      </c>
      <c r="E84">
        <v>718777</v>
      </c>
      <c r="F84">
        <v>36</v>
      </c>
      <c r="G84" s="4">
        <v>150</v>
      </c>
      <c r="H84" s="4">
        <v>5400</v>
      </c>
      <c r="I84" s="4" t="s">
        <v>68</v>
      </c>
      <c r="J84" s="5">
        <v>106.94</v>
      </c>
      <c r="M84" s="8" t="s">
        <v>67</v>
      </c>
      <c r="N84" s="4">
        <v>163490</v>
      </c>
      <c r="O84" s="7">
        <v>1463.3799999999997</v>
      </c>
    </row>
    <row r="85" spans="1:15" x14ac:dyDescent="0.25">
      <c r="A85" s="1">
        <v>46281.726469907408</v>
      </c>
      <c r="B85" s="10" t="s">
        <v>62</v>
      </c>
      <c r="C85" t="s">
        <v>67</v>
      </c>
      <c r="D85">
        <v>40073474</v>
      </c>
      <c r="E85">
        <v>718778</v>
      </c>
      <c r="F85">
        <v>30</v>
      </c>
      <c r="G85" s="4">
        <v>150</v>
      </c>
      <c r="H85" s="4">
        <v>4500</v>
      </c>
      <c r="I85" s="4" t="s">
        <v>68</v>
      </c>
      <c r="J85" s="5">
        <v>106.94</v>
      </c>
      <c r="M85" s="9">
        <v>11549058</v>
      </c>
      <c r="N85" s="4">
        <v>83300</v>
      </c>
      <c r="O85" s="7">
        <v>106.94</v>
      </c>
    </row>
    <row r="86" spans="1:15" x14ac:dyDescent="0.25">
      <c r="A86" s="1">
        <v>46281.726469907408</v>
      </c>
      <c r="B86" s="10" t="s">
        <v>62</v>
      </c>
      <c r="C86" t="s">
        <v>67</v>
      </c>
      <c r="D86">
        <v>40109770</v>
      </c>
      <c r="E86">
        <v>718758</v>
      </c>
      <c r="F86">
        <v>27</v>
      </c>
      <c r="G86" s="4">
        <v>250</v>
      </c>
      <c r="H86" s="4">
        <v>6750</v>
      </c>
      <c r="I86" s="4" t="s">
        <v>68</v>
      </c>
      <c r="J86" s="5">
        <v>106.94</v>
      </c>
      <c r="M86" s="9">
        <v>11549170</v>
      </c>
      <c r="N86" s="4">
        <v>35200</v>
      </c>
      <c r="O86" s="7">
        <v>641.64</v>
      </c>
    </row>
    <row r="87" spans="1:15" x14ac:dyDescent="0.25">
      <c r="A87" s="1">
        <v>46281.726469907408</v>
      </c>
      <c r="B87" s="10" t="s">
        <v>62</v>
      </c>
      <c r="C87" t="s">
        <v>67</v>
      </c>
      <c r="D87" t="s">
        <v>69</v>
      </c>
      <c r="E87">
        <v>717580</v>
      </c>
      <c r="F87">
        <v>32</v>
      </c>
      <c r="G87" s="4">
        <v>520</v>
      </c>
      <c r="H87" s="4">
        <v>16640</v>
      </c>
      <c r="I87" s="4" t="s">
        <v>68</v>
      </c>
      <c r="J87" s="5">
        <v>135.07999999999998</v>
      </c>
      <c r="M87" s="9">
        <v>11602031</v>
      </c>
      <c r="N87" s="4">
        <v>1160</v>
      </c>
      <c r="O87" s="7">
        <v>0</v>
      </c>
    </row>
    <row r="88" spans="1:15" x14ac:dyDescent="0.25">
      <c r="A88" s="1">
        <v>46281.726469907408</v>
      </c>
      <c r="B88" s="10" t="s">
        <v>62</v>
      </c>
      <c r="C88" t="s">
        <v>67</v>
      </c>
      <c r="D88" t="s">
        <v>65</v>
      </c>
      <c r="E88">
        <v>718814</v>
      </c>
      <c r="F88">
        <v>1</v>
      </c>
      <c r="G88" s="4">
        <v>4950</v>
      </c>
      <c r="H88" s="4">
        <v>4950</v>
      </c>
      <c r="I88" s="4" t="s">
        <v>68</v>
      </c>
      <c r="J88" s="5">
        <v>129.44999999999999</v>
      </c>
      <c r="M88" s="9">
        <v>40073474</v>
      </c>
      <c r="N88" s="4">
        <v>9900</v>
      </c>
      <c r="O88" s="7">
        <v>213.88</v>
      </c>
    </row>
    <row r="89" spans="1:15" x14ac:dyDescent="0.25">
      <c r="A89" s="1">
        <v>46281.726469907408</v>
      </c>
      <c r="B89" s="10" t="s">
        <v>62</v>
      </c>
      <c r="C89" t="s">
        <v>67</v>
      </c>
      <c r="D89" t="s">
        <v>65</v>
      </c>
      <c r="E89">
        <v>718816</v>
      </c>
      <c r="F89">
        <v>1</v>
      </c>
      <c r="G89" s="4">
        <v>5590</v>
      </c>
      <c r="H89" s="4">
        <v>5590</v>
      </c>
      <c r="I89" s="4" t="s">
        <v>68</v>
      </c>
      <c r="J89" s="5">
        <v>129.44999999999999</v>
      </c>
      <c r="M89" s="9">
        <v>40109770</v>
      </c>
      <c r="N89" s="4">
        <v>6750</v>
      </c>
      <c r="O89" s="7">
        <v>106.94</v>
      </c>
    </row>
    <row r="90" spans="1:15" x14ac:dyDescent="0.25">
      <c r="A90" s="1">
        <v>46281.726469907408</v>
      </c>
      <c r="B90" s="10" t="s">
        <v>62</v>
      </c>
      <c r="C90" t="s">
        <v>70</v>
      </c>
      <c r="D90">
        <v>11549170</v>
      </c>
      <c r="E90">
        <v>717735</v>
      </c>
      <c r="F90">
        <v>16</v>
      </c>
      <c r="G90" s="4">
        <v>400</v>
      </c>
      <c r="H90" s="4">
        <v>6400</v>
      </c>
      <c r="I90" s="4" t="s">
        <v>71</v>
      </c>
      <c r="J90" s="5">
        <f>106.94*2</f>
        <v>213.88</v>
      </c>
      <c r="M90" s="9" t="s">
        <v>69</v>
      </c>
      <c r="N90" s="4">
        <v>16640</v>
      </c>
      <c r="O90" s="7">
        <v>135.07999999999998</v>
      </c>
    </row>
    <row r="91" spans="1:15" x14ac:dyDescent="0.25">
      <c r="A91" s="1">
        <v>46281.726469907408</v>
      </c>
      <c r="B91" s="10" t="s">
        <v>62</v>
      </c>
      <c r="C91" t="s">
        <v>70</v>
      </c>
      <c r="D91">
        <v>11549170</v>
      </c>
      <c r="E91">
        <v>717726</v>
      </c>
      <c r="F91">
        <v>46</v>
      </c>
      <c r="G91" s="4">
        <v>400</v>
      </c>
      <c r="H91" s="4">
        <v>18400</v>
      </c>
      <c r="I91" s="4" t="s">
        <v>71</v>
      </c>
      <c r="J91" s="5">
        <f>106.94*2</f>
        <v>213.88</v>
      </c>
      <c r="M91" s="9" t="s">
        <v>65</v>
      </c>
      <c r="N91" s="4">
        <v>10540</v>
      </c>
      <c r="O91" s="7">
        <v>258.89999999999998</v>
      </c>
    </row>
    <row r="92" spans="1:15" x14ac:dyDescent="0.25">
      <c r="A92" s="1">
        <v>46281.726469907408</v>
      </c>
      <c r="B92" s="10" t="s">
        <v>62</v>
      </c>
      <c r="C92" t="s">
        <v>70</v>
      </c>
      <c r="D92">
        <v>11549170</v>
      </c>
      <c r="E92">
        <v>717729</v>
      </c>
      <c r="F92">
        <v>35</v>
      </c>
      <c r="G92" s="4">
        <v>400</v>
      </c>
      <c r="H92" s="4">
        <v>14000</v>
      </c>
      <c r="I92" s="4" t="s">
        <v>71</v>
      </c>
      <c r="J92" s="5">
        <f>106.94*2</f>
        <v>213.88</v>
      </c>
      <c r="M92" s="8" t="s">
        <v>70</v>
      </c>
      <c r="N92" s="4">
        <v>137525</v>
      </c>
      <c r="O92" s="7">
        <v>1829.22</v>
      </c>
    </row>
    <row r="93" spans="1:15" x14ac:dyDescent="0.25">
      <c r="A93" s="1">
        <v>46281.726469907408</v>
      </c>
      <c r="B93" s="10" t="s">
        <v>62</v>
      </c>
      <c r="C93" t="s">
        <v>70</v>
      </c>
      <c r="D93">
        <v>11610126</v>
      </c>
      <c r="E93">
        <v>718871</v>
      </c>
      <c r="F93">
        <v>27</v>
      </c>
      <c r="G93" s="4">
        <v>1200</v>
      </c>
      <c r="H93" s="4">
        <v>32400</v>
      </c>
      <c r="I93" s="4" t="s">
        <v>71</v>
      </c>
      <c r="J93" s="5">
        <v>106.94</v>
      </c>
      <c r="M93" s="9">
        <v>11549170</v>
      </c>
      <c r="N93" s="4">
        <v>38800</v>
      </c>
      <c r="O93" s="7">
        <v>641.64</v>
      </c>
    </row>
    <row r="94" spans="1:15" x14ac:dyDescent="0.25">
      <c r="A94" s="1">
        <v>46281.726469907408</v>
      </c>
      <c r="B94" s="10" t="s">
        <v>62</v>
      </c>
      <c r="C94" t="s">
        <v>70</v>
      </c>
      <c r="D94">
        <v>11610126</v>
      </c>
      <c r="E94">
        <v>718872</v>
      </c>
      <c r="F94">
        <v>14</v>
      </c>
      <c r="G94" s="4">
        <v>1200</v>
      </c>
      <c r="H94" s="4">
        <v>16800</v>
      </c>
      <c r="I94" s="4" t="s">
        <v>71</v>
      </c>
      <c r="J94" s="5">
        <v>106.94</v>
      </c>
      <c r="M94" s="9">
        <v>11610126</v>
      </c>
      <c r="N94" s="4">
        <v>49200</v>
      </c>
      <c r="O94" s="7">
        <v>213.88</v>
      </c>
    </row>
    <row r="95" spans="1:15" x14ac:dyDescent="0.25">
      <c r="A95" s="1">
        <v>46281.726469907408</v>
      </c>
      <c r="B95" s="10" t="s">
        <v>62</v>
      </c>
      <c r="C95" t="s">
        <v>70</v>
      </c>
      <c r="D95">
        <v>40073474</v>
      </c>
      <c r="E95">
        <v>718780</v>
      </c>
      <c r="F95">
        <v>35</v>
      </c>
      <c r="G95" s="4">
        <v>150</v>
      </c>
      <c r="H95" s="4">
        <v>5250</v>
      </c>
      <c r="I95" s="4" t="s">
        <v>71</v>
      </c>
      <c r="J95" s="5">
        <v>106.94</v>
      </c>
      <c r="M95" s="9">
        <v>40073474</v>
      </c>
      <c r="N95" s="4">
        <v>5250</v>
      </c>
      <c r="O95" s="7">
        <v>106.94</v>
      </c>
    </row>
    <row r="96" spans="1:15" x14ac:dyDescent="0.25">
      <c r="A96" s="1">
        <v>46281.726469907408</v>
      </c>
      <c r="B96" s="10" t="s">
        <v>62</v>
      </c>
      <c r="C96" t="s">
        <v>70</v>
      </c>
      <c r="D96">
        <v>40109770</v>
      </c>
      <c r="E96">
        <v>718757</v>
      </c>
      <c r="F96">
        <v>39</v>
      </c>
      <c r="G96" s="4">
        <v>250</v>
      </c>
      <c r="H96" s="4">
        <v>9750</v>
      </c>
      <c r="I96" s="4" t="s">
        <v>71</v>
      </c>
      <c r="J96" s="5">
        <v>106.94</v>
      </c>
      <c r="M96" s="9">
        <v>40109770</v>
      </c>
      <c r="N96" s="4">
        <v>9750</v>
      </c>
      <c r="O96" s="7">
        <v>106.94</v>
      </c>
    </row>
    <row r="97" spans="1:15" x14ac:dyDescent="0.25">
      <c r="A97" s="1">
        <v>46281.726469907408</v>
      </c>
      <c r="B97" s="10" t="s">
        <v>62</v>
      </c>
      <c r="C97" t="s">
        <v>70</v>
      </c>
      <c r="D97" t="s">
        <v>72</v>
      </c>
      <c r="E97">
        <v>717880</v>
      </c>
      <c r="F97">
        <v>4</v>
      </c>
      <c r="G97" s="4">
        <v>1200</v>
      </c>
      <c r="H97" s="4">
        <v>4800</v>
      </c>
      <c r="I97" s="4" t="s">
        <v>71</v>
      </c>
      <c r="J97" s="5">
        <v>106.94</v>
      </c>
      <c r="M97" s="9" t="s">
        <v>72</v>
      </c>
      <c r="N97" s="4">
        <v>4800</v>
      </c>
      <c r="O97" s="7">
        <v>106.94</v>
      </c>
    </row>
    <row r="98" spans="1:15" x14ac:dyDescent="0.25">
      <c r="A98" s="1">
        <v>46281.726469907408</v>
      </c>
      <c r="B98" s="10" t="s">
        <v>62</v>
      </c>
      <c r="C98" t="s">
        <v>70</v>
      </c>
      <c r="D98" t="s">
        <v>69</v>
      </c>
      <c r="E98">
        <v>717579</v>
      </c>
      <c r="F98">
        <v>15</v>
      </c>
      <c r="G98" s="4">
        <v>520</v>
      </c>
      <c r="H98" s="4">
        <v>7800</v>
      </c>
      <c r="I98" s="4" t="s">
        <v>71</v>
      </c>
      <c r="J98" s="5">
        <v>135.07999999999998</v>
      </c>
      <c r="M98" s="9" t="s">
        <v>69</v>
      </c>
      <c r="N98" s="4">
        <v>7800</v>
      </c>
      <c r="O98" s="7">
        <v>135.07999999999998</v>
      </c>
    </row>
    <row r="99" spans="1:15" x14ac:dyDescent="0.25">
      <c r="A99" s="1">
        <v>46281.726469907408</v>
      </c>
      <c r="B99" s="10" t="s">
        <v>62</v>
      </c>
      <c r="C99" t="s">
        <v>70</v>
      </c>
      <c r="D99" t="s">
        <v>65</v>
      </c>
      <c r="E99">
        <v>718821</v>
      </c>
      <c r="F99">
        <v>1</v>
      </c>
      <c r="G99" s="4">
        <v>5480</v>
      </c>
      <c r="H99" s="4">
        <v>5480</v>
      </c>
      <c r="I99" s="4" t="s">
        <v>71</v>
      </c>
      <c r="J99" s="5">
        <v>129.44999999999999</v>
      </c>
      <c r="M99" s="9" t="s">
        <v>65</v>
      </c>
      <c r="N99" s="4">
        <v>21925</v>
      </c>
      <c r="O99" s="7">
        <v>517.79999999999995</v>
      </c>
    </row>
    <row r="100" spans="1:15" x14ac:dyDescent="0.25">
      <c r="A100" s="1">
        <v>46281.726469907408</v>
      </c>
      <c r="B100" s="10" t="s">
        <v>62</v>
      </c>
      <c r="C100" t="s">
        <v>70</v>
      </c>
      <c r="D100" t="s">
        <v>65</v>
      </c>
      <c r="E100">
        <v>718813</v>
      </c>
      <c r="F100">
        <v>1</v>
      </c>
      <c r="G100" s="4">
        <v>5780</v>
      </c>
      <c r="H100" s="4">
        <v>5780</v>
      </c>
      <c r="I100" s="4" t="s">
        <v>71</v>
      </c>
      <c r="J100" s="5">
        <v>129.44999999999999</v>
      </c>
      <c r="M100" s="6" t="s">
        <v>73</v>
      </c>
      <c r="N100" s="4">
        <v>42550</v>
      </c>
      <c r="O100" s="7">
        <v>247.64</v>
      </c>
    </row>
    <row r="101" spans="1:15" x14ac:dyDescent="0.25">
      <c r="A101" s="1">
        <v>46281.726469907408</v>
      </c>
      <c r="B101" s="10" t="s">
        <v>62</v>
      </c>
      <c r="C101" t="s">
        <v>70</v>
      </c>
      <c r="D101" t="s">
        <v>65</v>
      </c>
      <c r="E101">
        <v>718815</v>
      </c>
      <c r="F101">
        <v>1</v>
      </c>
      <c r="G101" s="4">
        <v>6110</v>
      </c>
      <c r="H101" s="4">
        <v>6110</v>
      </c>
      <c r="I101" s="4" t="s">
        <v>71</v>
      </c>
      <c r="J101" s="5">
        <v>129.44999999999999</v>
      </c>
      <c r="M101" s="8" t="s">
        <v>74</v>
      </c>
      <c r="N101" s="4">
        <v>42550</v>
      </c>
      <c r="O101" s="7">
        <v>247.64</v>
      </c>
    </row>
    <row r="102" spans="1:15" x14ac:dyDescent="0.25">
      <c r="A102" s="1">
        <v>46281.726469907408</v>
      </c>
      <c r="B102" s="10" t="s">
        <v>62</v>
      </c>
      <c r="C102" t="s">
        <v>70</v>
      </c>
      <c r="D102" t="s">
        <v>65</v>
      </c>
      <c r="E102">
        <v>718822</v>
      </c>
      <c r="F102">
        <v>1</v>
      </c>
      <c r="G102" s="4">
        <v>4555</v>
      </c>
      <c r="H102" s="4">
        <v>4555</v>
      </c>
      <c r="I102" s="4" t="s">
        <v>71</v>
      </c>
      <c r="J102" s="5">
        <v>129.44999999999999</v>
      </c>
      <c r="M102" s="9">
        <v>11612078</v>
      </c>
      <c r="N102" s="4">
        <v>42550</v>
      </c>
      <c r="O102" s="7">
        <v>247.64</v>
      </c>
    </row>
    <row r="103" spans="1:15" x14ac:dyDescent="0.25">
      <c r="A103" s="1">
        <v>46281.726469907408</v>
      </c>
      <c r="B103" s="10" t="s">
        <v>73</v>
      </c>
      <c r="C103" t="s">
        <v>74</v>
      </c>
      <c r="D103">
        <v>11612078</v>
      </c>
      <c r="E103">
        <v>707325</v>
      </c>
      <c r="F103">
        <v>12</v>
      </c>
      <c r="G103" s="4">
        <v>1850</v>
      </c>
      <c r="H103" s="4">
        <v>22200</v>
      </c>
      <c r="I103" s="4">
        <v>285</v>
      </c>
      <c r="J103" s="5">
        <v>247.64</v>
      </c>
      <c r="M103" s="6" t="s">
        <v>75</v>
      </c>
      <c r="N103" s="4">
        <v>2804688</v>
      </c>
      <c r="O103" s="7">
        <v>10452.939999999999</v>
      </c>
    </row>
    <row r="104" spans="1:15" x14ac:dyDescent="0.25">
      <c r="A104" s="1">
        <v>46281.726469907408</v>
      </c>
      <c r="B104" s="10" t="s">
        <v>73</v>
      </c>
      <c r="C104" t="s">
        <v>74</v>
      </c>
      <c r="D104">
        <v>11612078</v>
      </c>
      <c r="E104">
        <v>710175</v>
      </c>
      <c r="F104">
        <v>11</v>
      </c>
      <c r="G104" s="4">
        <v>1850</v>
      </c>
      <c r="H104" s="4">
        <v>20350</v>
      </c>
      <c r="I104" s="4">
        <v>285</v>
      </c>
      <c r="J104" s="5">
        <v>0</v>
      </c>
    </row>
  </sheetData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Thai</dc:creator>
  <cp:lastModifiedBy>Andy Phan</cp:lastModifiedBy>
  <dcterms:created xsi:type="dcterms:W3CDTF">2026-09-17T20:43:52Z</dcterms:created>
  <dcterms:modified xsi:type="dcterms:W3CDTF">2026-09-17T22:04:51Z</dcterms:modified>
</cp:coreProperties>
</file>