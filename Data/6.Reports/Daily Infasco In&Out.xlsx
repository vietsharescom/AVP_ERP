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VP_ERP\Data\6.Reports\"/>
    </mc:Choice>
  </mc:AlternateContent>
  <xr:revisionPtr revIDLastSave="0" documentId="13_ncr:1_{7C006A74-F2B0-49CF-84C3-658863B68B4C}" xr6:coauthVersionLast="47" xr6:coauthVersionMax="47" xr10:uidLastSave="{00000000-0000-0000-0000-000000000000}"/>
  <bookViews>
    <workbookView xWindow="0" yWindow="0" windowWidth="17205" windowHeight="20880" xr2:uid="{95076823-32A7-42B7-8FD1-9D57F71B8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4" i="1" l="1"/>
  <c r="D193" i="1"/>
  <c r="M190" i="1"/>
  <c r="L190" i="1"/>
  <c r="K190" i="1"/>
  <c r="H190" i="1"/>
  <c r="I190" i="1" s="1"/>
  <c r="G190" i="1"/>
  <c r="D190" i="1"/>
  <c r="C190" i="1"/>
  <c r="M189" i="1"/>
  <c r="L189" i="1"/>
  <c r="K189" i="1"/>
  <c r="H189" i="1"/>
  <c r="N189" i="1" s="1"/>
  <c r="G189" i="1"/>
  <c r="D189" i="1"/>
  <c r="C189" i="1"/>
  <c r="E189" i="1" s="1"/>
  <c r="I188" i="1"/>
  <c r="I187" i="1"/>
  <c r="I186" i="1"/>
  <c r="I185" i="1"/>
  <c r="I184" i="1"/>
  <c r="D184" i="1"/>
  <c r="I183" i="1"/>
  <c r="C183" i="1"/>
  <c r="K182" i="1"/>
  <c r="H182" i="1"/>
  <c r="I182" i="1" s="1"/>
  <c r="G182" i="1"/>
  <c r="D182" i="1"/>
  <c r="H181" i="1"/>
  <c r="G181" i="1"/>
  <c r="D181" i="1"/>
  <c r="I180" i="1"/>
  <c r="E180" i="1"/>
  <c r="M180" i="1" s="1"/>
  <c r="L179" i="1"/>
  <c r="L181" i="1" s="1"/>
  <c r="K179" i="1"/>
  <c r="I179" i="1"/>
  <c r="C179" i="1"/>
  <c r="C181" i="1" s="1"/>
  <c r="E181" i="1" s="1"/>
  <c r="M178" i="1"/>
  <c r="L178" i="1"/>
  <c r="K178" i="1"/>
  <c r="I178" i="1"/>
  <c r="E178" i="1"/>
  <c r="L177" i="1"/>
  <c r="K177" i="1"/>
  <c r="K181" i="1" s="1"/>
  <c r="I177" i="1"/>
  <c r="E177" i="1"/>
  <c r="M177" i="1" s="1"/>
  <c r="M176" i="1"/>
  <c r="I176" i="1"/>
  <c r="E176" i="1"/>
  <c r="L175" i="1"/>
  <c r="I175" i="1"/>
  <c r="E175" i="1"/>
  <c r="M175" i="1" s="1"/>
  <c r="H174" i="1"/>
  <c r="I174" i="1" s="1"/>
  <c r="G174" i="1"/>
  <c r="H173" i="1"/>
  <c r="N173" i="1" s="1"/>
  <c r="G173" i="1"/>
  <c r="D173" i="1"/>
  <c r="C173" i="1"/>
  <c r="E173" i="1" s="1"/>
  <c r="I172" i="1"/>
  <c r="D172" i="1"/>
  <c r="E172" i="1" s="1"/>
  <c r="M172" i="1" s="1"/>
  <c r="L171" i="1"/>
  <c r="K171" i="1"/>
  <c r="K174" i="1" s="1"/>
  <c r="I171" i="1"/>
  <c r="C171" i="1"/>
  <c r="E171" i="1" s="1"/>
  <c r="M171" i="1" s="1"/>
  <c r="L170" i="1"/>
  <c r="K170" i="1"/>
  <c r="I170" i="1"/>
  <c r="D170" i="1"/>
  <c r="E170" i="1" s="1"/>
  <c r="M170" i="1" s="1"/>
  <c r="K169" i="1"/>
  <c r="K173" i="1" s="1"/>
  <c r="I169" i="1"/>
  <c r="D169" i="1"/>
  <c r="D174" i="1" s="1"/>
  <c r="C169" i="1"/>
  <c r="E169" i="1" s="1"/>
  <c r="M169" i="1" s="1"/>
  <c r="M168" i="1"/>
  <c r="L168" i="1"/>
  <c r="L173" i="1" s="1"/>
  <c r="K168" i="1"/>
  <c r="I168" i="1"/>
  <c r="C168" i="1"/>
  <c r="E168" i="1" s="1"/>
  <c r="I167" i="1"/>
  <c r="E167" i="1"/>
  <c r="M167" i="1" s="1"/>
  <c r="C167" i="1"/>
  <c r="C174" i="1" s="1"/>
  <c r="K166" i="1"/>
  <c r="H166" i="1"/>
  <c r="I166" i="1" s="1"/>
  <c r="G166" i="1"/>
  <c r="K165" i="1"/>
  <c r="H165" i="1"/>
  <c r="G165" i="1"/>
  <c r="I164" i="1"/>
  <c r="E164" i="1"/>
  <c r="M164" i="1" s="1"/>
  <c r="I163" i="1"/>
  <c r="C163" i="1"/>
  <c r="E163" i="1" s="1"/>
  <c r="M163" i="1" s="1"/>
  <c r="L162" i="1"/>
  <c r="I162" i="1"/>
  <c r="D162" i="1"/>
  <c r="E162" i="1" s="1"/>
  <c r="M162" i="1" s="1"/>
  <c r="L161" i="1"/>
  <c r="I161" i="1"/>
  <c r="D161" i="1"/>
  <c r="D165" i="1" s="1"/>
  <c r="M160" i="1"/>
  <c r="L160" i="1"/>
  <c r="L165" i="1" s="1"/>
  <c r="I160" i="1"/>
  <c r="E160" i="1"/>
  <c r="L159" i="1"/>
  <c r="I159" i="1"/>
  <c r="C159" i="1"/>
  <c r="C165" i="1" s="1"/>
  <c r="K158" i="1"/>
  <c r="H158" i="1"/>
  <c r="I158" i="1" s="1"/>
  <c r="G158" i="1"/>
  <c r="K157" i="1"/>
  <c r="H157" i="1"/>
  <c r="N157" i="1" s="1"/>
  <c r="G157" i="1"/>
  <c r="I156" i="1"/>
  <c r="E156" i="1"/>
  <c r="M156" i="1" s="1"/>
  <c r="L155" i="1"/>
  <c r="L157" i="1" s="1"/>
  <c r="I155" i="1"/>
  <c r="D155" i="1"/>
  <c r="D157" i="1" s="1"/>
  <c r="M154" i="1"/>
  <c r="I154" i="1"/>
  <c r="E154" i="1"/>
  <c r="I153" i="1"/>
  <c r="E153" i="1"/>
  <c r="M153" i="1" s="1"/>
  <c r="I152" i="1"/>
  <c r="E152" i="1"/>
  <c r="M152" i="1" s="1"/>
  <c r="I151" i="1"/>
  <c r="C151" i="1"/>
  <c r="C157" i="1" s="1"/>
  <c r="K150" i="1"/>
  <c r="H150" i="1"/>
  <c r="G150" i="1"/>
  <c r="I150" i="1" s="1"/>
  <c r="D150" i="1"/>
  <c r="C150" i="1"/>
  <c r="L149" i="1"/>
  <c r="N149" i="1" s="1"/>
  <c r="K149" i="1"/>
  <c r="H149" i="1"/>
  <c r="I149" i="1" s="1"/>
  <c r="G149" i="1"/>
  <c r="D149" i="1"/>
  <c r="C149" i="1"/>
  <c r="E149" i="1" s="1"/>
  <c r="I148" i="1"/>
  <c r="E148" i="1"/>
  <c r="M148" i="1" s="1"/>
  <c r="M147" i="1"/>
  <c r="I147" i="1"/>
  <c r="E147" i="1"/>
  <c r="I146" i="1"/>
  <c r="D146" i="1"/>
  <c r="C146" i="1"/>
  <c r="E146" i="1" s="1"/>
  <c r="M146" i="1" s="1"/>
  <c r="M145" i="1"/>
  <c r="I145" i="1"/>
  <c r="E145" i="1"/>
  <c r="M144" i="1"/>
  <c r="L144" i="1"/>
  <c r="L150" i="1" s="1"/>
  <c r="I144" i="1"/>
  <c r="E144" i="1"/>
  <c r="C144" i="1"/>
  <c r="I143" i="1"/>
  <c r="E143" i="1"/>
  <c r="M143" i="1" s="1"/>
  <c r="K142" i="1"/>
  <c r="H142" i="1"/>
  <c r="I142" i="1" s="1"/>
  <c r="G142" i="1"/>
  <c r="D142" i="1"/>
  <c r="K141" i="1"/>
  <c r="H141" i="1"/>
  <c r="G141" i="1"/>
  <c r="D141" i="1"/>
  <c r="I140" i="1"/>
  <c r="E140" i="1"/>
  <c r="M140" i="1" s="1"/>
  <c r="I139" i="1"/>
  <c r="E139" i="1"/>
  <c r="M139" i="1" s="1"/>
  <c r="C139" i="1"/>
  <c r="I138" i="1"/>
  <c r="E138" i="1"/>
  <c r="M138" i="1" s="1"/>
  <c r="M137" i="1"/>
  <c r="I137" i="1"/>
  <c r="E137" i="1"/>
  <c r="L136" i="1"/>
  <c r="I136" i="1"/>
  <c r="C136" i="1"/>
  <c r="E136" i="1" s="1"/>
  <c r="M136" i="1" s="1"/>
  <c r="L135" i="1"/>
  <c r="L141" i="1" s="1"/>
  <c r="I135" i="1"/>
  <c r="C135" i="1"/>
  <c r="C141" i="1" s="1"/>
  <c r="E141" i="1" s="1"/>
  <c r="K134" i="1"/>
  <c r="H134" i="1"/>
  <c r="I134" i="1" s="1"/>
  <c r="G134" i="1"/>
  <c r="K133" i="1"/>
  <c r="H133" i="1"/>
  <c r="I133" i="1" s="1"/>
  <c r="G133" i="1"/>
  <c r="I132" i="1"/>
  <c r="D132" i="1"/>
  <c r="D133" i="1" s="1"/>
  <c r="L131" i="1"/>
  <c r="I131" i="1"/>
  <c r="E131" i="1"/>
  <c r="M131" i="1" s="1"/>
  <c r="I130" i="1"/>
  <c r="E130" i="1"/>
  <c r="M130" i="1" s="1"/>
  <c r="D130" i="1"/>
  <c r="I129" i="1"/>
  <c r="C129" i="1"/>
  <c r="C134" i="1" s="1"/>
  <c r="I128" i="1"/>
  <c r="E128" i="1"/>
  <c r="M128" i="1" s="1"/>
  <c r="L127" i="1"/>
  <c r="L133" i="1" s="1"/>
  <c r="N133" i="1" s="1"/>
  <c r="I127" i="1"/>
  <c r="E127" i="1"/>
  <c r="M127" i="1" s="1"/>
  <c r="C127" i="1"/>
  <c r="C133" i="1" s="1"/>
  <c r="E133" i="1" s="1"/>
  <c r="K126" i="1"/>
  <c r="H126" i="1"/>
  <c r="I126" i="1" s="1"/>
  <c r="G126" i="1"/>
  <c r="K125" i="1"/>
  <c r="H125" i="1"/>
  <c r="G125" i="1"/>
  <c r="I124" i="1"/>
  <c r="E124" i="1"/>
  <c r="M124" i="1" s="1"/>
  <c r="I123" i="1"/>
  <c r="E123" i="1"/>
  <c r="M123" i="1" s="1"/>
  <c r="M122" i="1"/>
  <c r="L122" i="1"/>
  <c r="L126" i="1" s="1"/>
  <c r="I122" i="1"/>
  <c r="E122" i="1"/>
  <c r="L121" i="1"/>
  <c r="I121" i="1"/>
  <c r="D121" i="1"/>
  <c r="E121" i="1" s="1"/>
  <c r="M121" i="1" s="1"/>
  <c r="L120" i="1"/>
  <c r="L125" i="1" s="1"/>
  <c r="I120" i="1"/>
  <c r="D120" i="1"/>
  <c r="D125" i="1" s="1"/>
  <c r="L119" i="1"/>
  <c r="I119" i="1"/>
  <c r="E119" i="1"/>
  <c r="M119" i="1" s="1"/>
  <c r="C119" i="1"/>
  <c r="C125" i="1" s="1"/>
  <c r="E125" i="1" s="1"/>
  <c r="K118" i="1"/>
  <c r="H118" i="1"/>
  <c r="I118" i="1" s="1"/>
  <c r="G118" i="1"/>
  <c r="K117" i="1"/>
  <c r="H117" i="1"/>
  <c r="N117" i="1" s="1"/>
  <c r="G117" i="1"/>
  <c r="D117" i="1"/>
  <c r="I116" i="1"/>
  <c r="E116" i="1"/>
  <c r="M116" i="1" s="1"/>
  <c r="L115" i="1"/>
  <c r="I115" i="1"/>
  <c r="D115" i="1"/>
  <c r="E115" i="1" s="1"/>
  <c r="M115" i="1" s="1"/>
  <c r="I114" i="1"/>
  <c r="E114" i="1"/>
  <c r="M114" i="1" s="1"/>
  <c r="D114" i="1"/>
  <c r="D118" i="1" s="1"/>
  <c r="C114" i="1"/>
  <c r="I113" i="1"/>
  <c r="C113" i="1"/>
  <c r="C117" i="1" s="1"/>
  <c r="E117" i="1" s="1"/>
  <c r="L112" i="1"/>
  <c r="I112" i="1"/>
  <c r="E112" i="1"/>
  <c r="M112" i="1" s="1"/>
  <c r="M111" i="1"/>
  <c r="L111" i="1"/>
  <c r="L117" i="1" s="1"/>
  <c r="I111" i="1"/>
  <c r="E111" i="1"/>
  <c r="K110" i="1"/>
  <c r="I110" i="1"/>
  <c r="H110" i="1"/>
  <c r="G110" i="1"/>
  <c r="D110" i="1"/>
  <c r="C110" i="1"/>
  <c r="K109" i="1"/>
  <c r="H109" i="1"/>
  <c r="G109" i="1"/>
  <c r="C109" i="1"/>
  <c r="M108" i="1"/>
  <c r="I108" i="1"/>
  <c r="E108" i="1"/>
  <c r="I107" i="1"/>
  <c r="E107" i="1"/>
  <c r="M107" i="1" s="1"/>
  <c r="L106" i="1"/>
  <c r="I106" i="1"/>
  <c r="D106" i="1"/>
  <c r="E106" i="1" s="1"/>
  <c r="M106" i="1" s="1"/>
  <c r="I105" i="1"/>
  <c r="E105" i="1"/>
  <c r="M105" i="1" s="1"/>
  <c r="D105" i="1"/>
  <c r="C105" i="1"/>
  <c r="I104" i="1"/>
  <c r="E104" i="1"/>
  <c r="M104" i="1" s="1"/>
  <c r="L103" i="1"/>
  <c r="L109" i="1" s="1"/>
  <c r="I103" i="1"/>
  <c r="E103" i="1"/>
  <c r="M103" i="1" s="1"/>
  <c r="L102" i="1"/>
  <c r="H102" i="1"/>
  <c r="G102" i="1"/>
  <c r="I102" i="1" s="1"/>
  <c r="K101" i="1"/>
  <c r="I101" i="1"/>
  <c r="H101" i="1"/>
  <c r="G101" i="1"/>
  <c r="I100" i="1"/>
  <c r="E100" i="1"/>
  <c r="M100" i="1" s="1"/>
  <c r="I99" i="1"/>
  <c r="D99" i="1"/>
  <c r="E99" i="1" s="1"/>
  <c r="M99" i="1" s="1"/>
  <c r="I98" i="1"/>
  <c r="D98" i="1"/>
  <c r="E98" i="1" s="1"/>
  <c r="M98" i="1" s="1"/>
  <c r="I97" i="1"/>
  <c r="E97" i="1"/>
  <c r="M97" i="1" s="1"/>
  <c r="D97" i="1"/>
  <c r="D101" i="1" s="1"/>
  <c r="C97" i="1"/>
  <c r="M96" i="1"/>
  <c r="L96" i="1"/>
  <c r="L101" i="1" s="1"/>
  <c r="N101" i="1" s="1"/>
  <c r="I96" i="1"/>
  <c r="E96" i="1"/>
  <c r="L95" i="1"/>
  <c r="K95" i="1"/>
  <c r="K102" i="1" s="1"/>
  <c r="I95" i="1"/>
  <c r="C95" i="1"/>
  <c r="C101" i="1" s="1"/>
  <c r="E101" i="1" s="1"/>
  <c r="L94" i="1"/>
  <c r="K94" i="1"/>
  <c r="I94" i="1"/>
  <c r="H94" i="1"/>
  <c r="G94" i="1"/>
  <c r="L93" i="1"/>
  <c r="K93" i="1"/>
  <c r="H93" i="1"/>
  <c r="N93" i="1" s="1"/>
  <c r="G93" i="1"/>
  <c r="I92" i="1"/>
  <c r="E92" i="1"/>
  <c r="M92" i="1" s="1"/>
  <c r="M91" i="1"/>
  <c r="I91" i="1"/>
  <c r="E91" i="1"/>
  <c r="I90" i="1"/>
  <c r="E90" i="1"/>
  <c r="M90" i="1" s="1"/>
  <c r="I89" i="1"/>
  <c r="D89" i="1"/>
  <c r="D93" i="1" s="1"/>
  <c r="L88" i="1"/>
  <c r="I88" i="1"/>
  <c r="C88" i="1"/>
  <c r="E88" i="1" s="1"/>
  <c r="M88" i="1" s="1"/>
  <c r="I87" i="1"/>
  <c r="E87" i="1"/>
  <c r="M87" i="1" s="1"/>
  <c r="C87" i="1"/>
  <c r="C93" i="1" s="1"/>
  <c r="E93" i="1" s="1"/>
  <c r="L86" i="1"/>
  <c r="K86" i="1"/>
  <c r="H86" i="1"/>
  <c r="I86" i="1" s="1"/>
  <c r="G86" i="1"/>
  <c r="D86" i="1"/>
  <c r="N85" i="1"/>
  <c r="L85" i="1"/>
  <c r="K85" i="1"/>
  <c r="H85" i="1"/>
  <c r="G85" i="1"/>
  <c r="I85" i="1" s="1"/>
  <c r="I84" i="1"/>
  <c r="E84" i="1"/>
  <c r="M84" i="1" s="1"/>
  <c r="I83" i="1"/>
  <c r="D83" i="1"/>
  <c r="E83" i="1" s="1"/>
  <c r="M83" i="1" s="1"/>
  <c r="I82" i="1"/>
  <c r="E82" i="1"/>
  <c r="M82" i="1" s="1"/>
  <c r="D82" i="1"/>
  <c r="D85" i="1" s="1"/>
  <c r="I81" i="1"/>
  <c r="C81" i="1"/>
  <c r="C85" i="1" s="1"/>
  <c r="E85" i="1" s="1"/>
  <c r="I80" i="1"/>
  <c r="E80" i="1"/>
  <c r="M80" i="1" s="1"/>
  <c r="D80" i="1"/>
  <c r="I79" i="1"/>
  <c r="E79" i="1"/>
  <c r="M79" i="1" s="1"/>
  <c r="C79" i="1"/>
  <c r="L78" i="1"/>
  <c r="K78" i="1"/>
  <c r="H78" i="1"/>
  <c r="I78" i="1" s="1"/>
  <c r="G78" i="1"/>
  <c r="D78" i="1"/>
  <c r="L77" i="1"/>
  <c r="K77" i="1"/>
  <c r="H77" i="1"/>
  <c r="N77" i="1" s="1"/>
  <c r="G77" i="1"/>
  <c r="D77" i="1"/>
  <c r="I76" i="1"/>
  <c r="E76" i="1"/>
  <c r="M76" i="1" s="1"/>
  <c r="I75" i="1"/>
  <c r="C75" i="1"/>
  <c r="E75" i="1" s="1"/>
  <c r="M75" i="1" s="1"/>
  <c r="M74" i="1"/>
  <c r="I74" i="1"/>
  <c r="E74" i="1"/>
  <c r="L73" i="1"/>
  <c r="I73" i="1"/>
  <c r="C73" i="1"/>
  <c r="E73" i="1" s="1"/>
  <c r="M73" i="1" s="1"/>
  <c r="I72" i="1"/>
  <c r="C72" i="1"/>
  <c r="E72" i="1" s="1"/>
  <c r="M72" i="1" s="1"/>
  <c r="M71" i="1"/>
  <c r="L71" i="1"/>
  <c r="I71" i="1"/>
  <c r="E71" i="1"/>
  <c r="C71" i="1"/>
  <c r="C77" i="1" s="1"/>
  <c r="E77" i="1" s="1"/>
  <c r="K70" i="1"/>
  <c r="H70" i="1"/>
  <c r="I70" i="1" s="1"/>
  <c r="G70" i="1"/>
  <c r="K69" i="1"/>
  <c r="I69" i="1"/>
  <c r="H69" i="1"/>
  <c r="G69" i="1"/>
  <c r="D69" i="1"/>
  <c r="C69" i="1"/>
  <c r="E69" i="1" s="1"/>
  <c r="M68" i="1"/>
  <c r="I68" i="1"/>
  <c r="E68" i="1"/>
  <c r="L67" i="1"/>
  <c r="I67" i="1"/>
  <c r="E67" i="1"/>
  <c r="M67" i="1" s="1"/>
  <c r="D67" i="1"/>
  <c r="C67" i="1"/>
  <c r="C70" i="1" s="1"/>
  <c r="L66" i="1"/>
  <c r="I66" i="1"/>
  <c r="D66" i="1"/>
  <c r="D70" i="1" s="1"/>
  <c r="M65" i="1"/>
  <c r="I65" i="1"/>
  <c r="E65" i="1"/>
  <c r="L64" i="1"/>
  <c r="I64" i="1"/>
  <c r="E64" i="1"/>
  <c r="M64" i="1" s="1"/>
  <c r="M63" i="1"/>
  <c r="L63" i="1"/>
  <c r="L69" i="1" s="1"/>
  <c r="I63" i="1"/>
  <c r="E63" i="1"/>
  <c r="K62" i="1"/>
  <c r="H62" i="1"/>
  <c r="I62" i="1" s="1"/>
  <c r="G62" i="1"/>
  <c r="D62" i="1"/>
  <c r="C62" i="1"/>
  <c r="K61" i="1"/>
  <c r="H61" i="1"/>
  <c r="G61" i="1"/>
  <c r="I61" i="1" s="1"/>
  <c r="D61" i="1"/>
  <c r="I60" i="1"/>
  <c r="E60" i="1"/>
  <c r="M60" i="1" s="1"/>
  <c r="M59" i="1"/>
  <c r="L59" i="1"/>
  <c r="I59" i="1"/>
  <c r="E59" i="1"/>
  <c r="C59" i="1"/>
  <c r="I58" i="1"/>
  <c r="E58" i="1"/>
  <c r="M58" i="1" s="1"/>
  <c r="L57" i="1"/>
  <c r="L61" i="1" s="1"/>
  <c r="N61" i="1" s="1"/>
  <c r="I57" i="1"/>
  <c r="E57" i="1"/>
  <c r="M57" i="1" s="1"/>
  <c r="C57" i="1"/>
  <c r="M56" i="1"/>
  <c r="I56" i="1"/>
  <c r="E56" i="1"/>
  <c r="D56" i="1"/>
  <c r="I55" i="1"/>
  <c r="C55" i="1"/>
  <c r="E55" i="1" s="1"/>
  <c r="M55" i="1" s="1"/>
  <c r="L54" i="1"/>
  <c r="K54" i="1"/>
  <c r="I54" i="1"/>
  <c r="H54" i="1"/>
  <c r="G54" i="1"/>
  <c r="D54" i="1"/>
  <c r="L53" i="1"/>
  <c r="N53" i="1" s="1"/>
  <c r="K53" i="1"/>
  <c r="I53" i="1"/>
  <c r="H53" i="1"/>
  <c r="G53" i="1"/>
  <c r="D53" i="1"/>
  <c r="I52" i="1"/>
  <c r="E52" i="1"/>
  <c r="M52" i="1" s="1"/>
  <c r="I51" i="1"/>
  <c r="C51" i="1"/>
  <c r="C54" i="1" s="1"/>
  <c r="M50" i="1"/>
  <c r="L50" i="1"/>
  <c r="I50" i="1"/>
  <c r="E50" i="1"/>
  <c r="C50" i="1"/>
  <c r="C53" i="1" s="1"/>
  <c r="E53" i="1" s="1"/>
  <c r="I49" i="1"/>
  <c r="E49" i="1"/>
  <c r="M49" i="1" s="1"/>
  <c r="I48" i="1"/>
  <c r="E48" i="1"/>
  <c r="M48" i="1" s="1"/>
  <c r="M47" i="1"/>
  <c r="I47" i="1"/>
  <c r="E47" i="1"/>
  <c r="K46" i="1"/>
  <c r="I46" i="1"/>
  <c r="H46" i="1"/>
  <c r="G46" i="1"/>
  <c r="D46" i="1"/>
  <c r="C46" i="1"/>
  <c r="M45" i="1"/>
  <c r="I45" i="1"/>
  <c r="E45" i="1"/>
  <c r="M44" i="1"/>
  <c r="I44" i="1"/>
  <c r="C44" i="1"/>
  <c r="E44" i="1" s="1"/>
  <c r="L43" i="1"/>
  <c r="M43" i="1" s="1"/>
  <c r="I43" i="1"/>
  <c r="E43" i="1"/>
  <c r="M42" i="1"/>
  <c r="I42" i="1"/>
  <c r="E42" i="1"/>
  <c r="C42" i="1"/>
  <c r="L41" i="1"/>
  <c r="M41" i="1" s="1"/>
  <c r="I41" i="1"/>
  <c r="E41" i="1"/>
  <c r="D41" i="1"/>
  <c r="M40" i="1"/>
  <c r="I40" i="1"/>
  <c r="E40" i="1"/>
  <c r="K39" i="1"/>
  <c r="H39" i="1"/>
  <c r="I39" i="1" s="1"/>
  <c r="G39" i="1"/>
  <c r="D39" i="1"/>
  <c r="M38" i="1"/>
  <c r="I38" i="1"/>
  <c r="E38" i="1"/>
  <c r="M37" i="1"/>
  <c r="I37" i="1"/>
  <c r="E37" i="1"/>
  <c r="C37" i="1"/>
  <c r="L36" i="1"/>
  <c r="M36" i="1" s="1"/>
  <c r="I36" i="1"/>
  <c r="E36" i="1"/>
  <c r="L35" i="1"/>
  <c r="M35" i="1" s="1"/>
  <c r="I35" i="1"/>
  <c r="E35" i="1"/>
  <c r="C35" i="1"/>
  <c r="M34" i="1"/>
  <c r="I34" i="1"/>
  <c r="E34" i="1"/>
  <c r="L33" i="1"/>
  <c r="L39" i="1" s="1"/>
  <c r="I33" i="1"/>
  <c r="C33" i="1"/>
  <c r="E33" i="1" s="1"/>
  <c r="L32" i="1"/>
  <c r="K32" i="1"/>
  <c r="I32" i="1"/>
  <c r="H32" i="1"/>
  <c r="G32" i="1"/>
  <c r="C32" i="1"/>
  <c r="M31" i="1"/>
  <c r="I31" i="1"/>
  <c r="E31" i="1"/>
  <c r="M30" i="1"/>
  <c r="I30" i="1"/>
  <c r="C30" i="1"/>
  <c r="E30" i="1" s="1"/>
  <c r="M29" i="1"/>
  <c r="I29" i="1"/>
  <c r="C29" i="1"/>
  <c r="E29" i="1" s="1"/>
  <c r="M28" i="1"/>
  <c r="I28" i="1"/>
  <c r="D28" i="1"/>
  <c r="D32" i="1" s="1"/>
  <c r="M27" i="1"/>
  <c r="M32" i="1" s="1"/>
  <c r="I27" i="1"/>
  <c r="E27" i="1"/>
  <c r="M26" i="1"/>
  <c r="I26" i="1"/>
  <c r="E26" i="1"/>
  <c r="K25" i="1"/>
  <c r="H25" i="1"/>
  <c r="I25" i="1" s="1"/>
  <c r="G25" i="1"/>
  <c r="M24" i="1"/>
  <c r="I24" i="1"/>
  <c r="E24" i="1"/>
  <c r="L23" i="1"/>
  <c r="L25" i="1" s="1"/>
  <c r="I23" i="1"/>
  <c r="D23" i="1"/>
  <c r="E23" i="1" s="1"/>
  <c r="M22" i="1"/>
  <c r="I22" i="1"/>
  <c r="D22" i="1"/>
  <c r="E22" i="1" s="1"/>
  <c r="L21" i="1"/>
  <c r="M21" i="1" s="1"/>
  <c r="I21" i="1"/>
  <c r="C21" i="1"/>
  <c r="C25" i="1" s="1"/>
  <c r="M20" i="1"/>
  <c r="I20" i="1"/>
  <c r="D20" i="1"/>
  <c r="D25" i="1" s="1"/>
  <c r="M19" i="1"/>
  <c r="I19" i="1"/>
  <c r="E19" i="1"/>
  <c r="C19" i="1"/>
  <c r="K18" i="1"/>
  <c r="H18" i="1"/>
  <c r="I18" i="1" s="1"/>
  <c r="G18" i="1"/>
  <c r="D18" i="1"/>
  <c r="M17" i="1"/>
  <c r="I17" i="1"/>
  <c r="E17" i="1"/>
  <c r="M16" i="1"/>
  <c r="I16" i="1"/>
  <c r="E16" i="1"/>
  <c r="C16" i="1"/>
  <c r="C18" i="1" s="1"/>
  <c r="L15" i="1"/>
  <c r="L18" i="1" s="1"/>
  <c r="I15" i="1"/>
  <c r="E15" i="1"/>
  <c r="M14" i="1"/>
  <c r="I14" i="1"/>
  <c r="E14" i="1"/>
  <c r="M13" i="1"/>
  <c r="I13" i="1"/>
  <c r="E13" i="1"/>
  <c r="M12" i="1"/>
  <c r="I12" i="1"/>
  <c r="E12" i="1"/>
  <c r="L11" i="1"/>
  <c r="K11" i="1"/>
  <c r="I11" i="1"/>
  <c r="H11" i="1"/>
  <c r="G11" i="1"/>
  <c r="D11" i="1"/>
  <c r="C11" i="1"/>
  <c r="M10" i="1"/>
  <c r="I10" i="1"/>
  <c r="E10" i="1"/>
  <c r="M9" i="1"/>
  <c r="I9" i="1"/>
  <c r="E9" i="1"/>
  <c r="M8" i="1"/>
  <c r="I8" i="1"/>
  <c r="E8" i="1"/>
  <c r="M7" i="1"/>
  <c r="I7" i="1"/>
  <c r="E7" i="1"/>
  <c r="M6" i="1"/>
  <c r="I6" i="1"/>
  <c r="E6" i="1"/>
  <c r="M5" i="1"/>
  <c r="M11" i="1" s="1"/>
  <c r="I5" i="1"/>
  <c r="F5" i="1"/>
  <c r="E11" i="1" s="1"/>
  <c r="O11" i="1" s="1"/>
  <c r="E18" i="1" s="1"/>
  <c r="O18" i="1" s="1"/>
  <c r="E5" i="1"/>
  <c r="N125" i="1" l="1"/>
  <c r="M109" i="1"/>
  <c r="M110" i="1"/>
  <c r="N69" i="1"/>
  <c r="M150" i="1"/>
  <c r="M149" i="1"/>
  <c r="M77" i="1"/>
  <c r="E165" i="1"/>
  <c r="E109" i="1"/>
  <c r="N181" i="1"/>
  <c r="M173" i="1"/>
  <c r="M174" i="1"/>
  <c r="N109" i="1"/>
  <c r="E157" i="1"/>
  <c r="E25" i="1"/>
  <c r="O25" i="1" s="1"/>
  <c r="E32" i="1" s="1"/>
  <c r="O32" i="1" s="1"/>
  <c r="M46" i="1"/>
  <c r="M18" i="1"/>
  <c r="M25" i="1"/>
  <c r="N141" i="1"/>
  <c r="M61" i="1"/>
  <c r="M62" i="1"/>
  <c r="N165" i="1"/>
  <c r="E51" i="1"/>
  <c r="M51" i="1" s="1"/>
  <c r="M53" i="1" s="1"/>
  <c r="M54" i="1"/>
  <c r="I77" i="1"/>
  <c r="E81" i="1"/>
  <c r="M81" i="1" s="1"/>
  <c r="M85" i="1" s="1"/>
  <c r="C86" i="1"/>
  <c r="E120" i="1"/>
  <c r="M120" i="1" s="1"/>
  <c r="M126" i="1" s="1"/>
  <c r="I125" i="1"/>
  <c r="E129" i="1"/>
  <c r="M129" i="1" s="1"/>
  <c r="M133" i="1" s="1"/>
  <c r="E132" i="1"/>
  <c r="M132" i="1" s="1"/>
  <c r="E135" i="1"/>
  <c r="M135" i="1" s="1"/>
  <c r="I165" i="1"/>
  <c r="L166" i="1"/>
  <c r="E20" i="1"/>
  <c r="M78" i="1"/>
  <c r="I93" i="1"/>
  <c r="E151" i="1"/>
  <c r="M151" i="1" s="1"/>
  <c r="E179" i="1"/>
  <c r="M179" i="1" s="1"/>
  <c r="M181" i="1" s="1"/>
  <c r="M15" i="1"/>
  <c r="E28" i="1"/>
  <c r="C39" i="1"/>
  <c r="C61" i="1"/>
  <c r="E61" i="1" s="1"/>
  <c r="D109" i="1"/>
  <c r="D134" i="1"/>
  <c r="E155" i="1"/>
  <c r="M155" i="1" s="1"/>
  <c r="I157" i="1"/>
  <c r="L158" i="1"/>
  <c r="I181" i="1"/>
  <c r="L182" i="1"/>
  <c r="I117" i="1"/>
  <c r="L118" i="1"/>
  <c r="I141" i="1"/>
  <c r="L142" i="1"/>
  <c r="E161" i="1"/>
  <c r="M161" i="1" s="1"/>
  <c r="L70" i="1"/>
  <c r="C102" i="1"/>
  <c r="I173" i="1"/>
  <c r="L174" i="1"/>
  <c r="E21" i="1"/>
  <c r="M23" i="1"/>
  <c r="C78" i="1"/>
  <c r="E95" i="1"/>
  <c r="M95" i="1" s="1"/>
  <c r="D102" i="1"/>
  <c r="C126" i="1"/>
  <c r="C166" i="1"/>
  <c r="M33" i="1"/>
  <c r="M39" i="1" s="1"/>
  <c r="L46" i="1"/>
  <c r="C94" i="1"/>
  <c r="I109" i="1"/>
  <c r="L110" i="1"/>
  <c r="E113" i="1"/>
  <c r="M113" i="1" s="1"/>
  <c r="M117" i="1" s="1"/>
  <c r="D126" i="1"/>
  <c r="E159" i="1"/>
  <c r="M159" i="1" s="1"/>
  <c r="D166" i="1"/>
  <c r="I189" i="1"/>
  <c r="L62" i="1"/>
  <c r="D94" i="1"/>
  <c r="C158" i="1"/>
  <c r="C182" i="1"/>
  <c r="E89" i="1"/>
  <c r="M89" i="1" s="1"/>
  <c r="M93" i="1" s="1"/>
  <c r="C118" i="1"/>
  <c r="L134" i="1"/>
  <c r="C142" i="1"/>
  <c r="D158" i="1"/>
  <c r="E66" i="1"/>
  <c r="M66" i="1" s="1"/>
  <c r="M70" i="1" s="1"/>
  <c r="M165" i="1" l="1"/>
  <c r="M166" i="1"/>
  <c r="M134" i="1"/>
  <c r="M157" i="1"/>
  <c r="M158" i="1"/>
  <c r="M125" i="1"/>
  <c r="M94" i="1"/>
  <c r="E39" i="1"/>
  <c r="O39" i="1" s="1"/>
  <c r="E46" i="1" s="1"/>
  <c r="O46" i="1" s="1"/>
  <c r="E54" i="1" s="1"/>
  <c r="O54" i="1" s="1"/>
  <c r="E62" i="1" s="1"/>
  <c r="O62" i="1" s="1"/>
  <c r="E70" i="1" s="1"/>
  <c r="O70" i="1" s="1"/>
  <c r="E78" i="1" s="1"/>
  <c r="O78" i="1" s="1"/>
  <c r="E86" i="1" s="1"/>
  <c r="O86" i="1" s="1"/>
  <c r="E94" i="1" s="1"/>
  <c r="O94" i="1" s="1"/>
  <c r="E102" i="1" s="1"/>
  <c r="O102" i="1" s="1"/>
  <c r="E110" i="1" s="1"/>
  <c r="O110" i="1" s="1"/>
  <c r="E118" i="1" s="1"/>
  <c r="O118" i="1" s="1"/>
  <c r="E126" i="1" s="1"/>
  <c r="O126" i="1" s="1"/>
  <c r="E134" i="1" s="1"/>
  <c r="O134" i="1" s="1"/>
  <c r="E142" i="1" s="1"/>
  <c r="O142" i="1" s="1"/>
  <c r="E150" i="1" s="1"/>
  <c r="O150" i="1" s="1"/>
  <c r="E158" i="1" s="1"/>
  <c r="O158" i="1" s="1"/>
  <c r="E166" i="1" s="1"/>
  <c r="O166" i="1" s="1"/>
  <c r="E174" i="1" s="1"/>
  <c r="O174" i="1" s="1"/>
  <c r="E182" i="1" s="1"/>
  <c r="O182" i="1" s="1"/>
  <c r="E190" i="1" s="1"/>
  <c r="O190" i="1" s="1"/>
  <c r="M118" i="1"/>
  <c r="M69" i="1"/>
  <c r="M182" i="1"/>
  <c r="M141" i="1"/>
  <c r="M142" i="1"/>
  <c r="M86" i="1"/>
  <c r="M101" i="1"/>
  <c r="M1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User</author>
  </authors>
  <commentList>
    <comment ref="F5" authorId="0" shapeId="0" xr:uid="{829E73EF-7700-4BE3-8992-6EF0F396BA3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235 inventory + 112 bins 
with 2 traveler per kib
</t>
        </r>
      </text>
    </comment>
    <comment ref="I11" authorId="1" shapeId="0" xr:uid="{D1E276E6-6E93-462D-8DF2-F666FDCB30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I18" authorId="1" shapeId="0" xr:uid="{F3DE92EE-91BF-4051-BE92-E389020DFE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I25" authorId="1" shapeId="0" xr:uid="{78EFC830-2035-4FBF-9287-8D34999923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I32" authorId="1" shapeId="0" xr:uid="{3CD684FF-EF5F-48ED-95AB-B01D655F1B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F33" authorId="0" shapeId="0" xr:uid="{D03DBE07-E802-45F6-8B4A-065AD0FCD7E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64 bins split from Kib</t>
        </r>
      </text>
    </comment>
    <comment ref="I39" authorId="1" shapeId="0" xr:uid="{79CA3087-7283-4A8E-82FD-D9F9C7B89C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I46" authorId="1" shapeId="0" xr:uid="{BEB53603-A90A-477C-9190-4C9A7AAC21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I54" authorId="1" shapeId="0" xr:uid="{847A8261-BB91-4F14-A1CC-67ACD31D99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I62" authorId="1" shapeId="0" xr:uid="{E530D71C-80F5-4E13-83A4-5164409E2F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F63" authorId="0" shapeId="0" xr:uid="{A2751966-7E36-49C3-A8BD-C41BB3869AD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63 bins from Kib
</t>
        </r>
      </text>
    </comment>
    <comment ref="I70" authorId="1" shapeId="0" xr:uid="{5D48D5CB-17B0-4F0F-B28F-64B9E26075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I78" authorId="1" shapeId="0" xr:uid="{5452442B-F173-4844-B4D7-AED55DC13C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I86" authorId="1" shapeId="0" xr:uid="{2D5A9C3A-8970-4994-A181-57D5E4A93A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Daily-Total pallet= Remaining pallet/day</t>
        </r>
      </text>
    </comment>
    <comment ref="F87" authorId="0" shapeId="0" xr:uid="{9CD094C6-FC5D-47F3-94A2-F0043E2DD77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95" authorId="0" shapeId="0" xr:uid="{3EAE4C54-87FC-45BC-B7E0-7597234A29B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03" authorId="0" shapeId="0" xr:uid="{9AA2FAF6-05BD-47B0-AD5A-B681E3D753F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11" authorId="0" shapeId="0" xr:uid="{35535C98-C185-461D-821C-0D0231086EC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19" authorId="0" shapeId="0" xr:uid="{D1C558AF-1D6E-4E49-8106-F021FE55B0A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27" authorId="0" shapeId="0" xr:uid="{915379DB-6A4B-46CA-93DB-CE2AB7ADA00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35" authorId="0" shapeId="0" xr:uid="{72FD0D4A-A0AE-4788-A43F-9072299636A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43" authorId="0" shapeId="0" xr:uid="{5B443DEF-5ABA-41CE-9010-D24596DB4F2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51" authorId="0" shapeId="0" xr:uid="{96D5A9EC-D6AD-4B49-BEC8-F57D4DB0893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59" authorId="0" shapeId="0" xr:uid="{3047286C-82CB-4A2A-A3B8-D597634B30A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67" authorId="0" shapeId="0" xr:uid="{4545103B-2B98-41ED-9998-EE03A034CFE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75" authorId="0" shapeId="0" xr:uid="{47FC584B-331B-432B-A409-EB57CE0D35D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  <comment ref="F183" authorId="0" shapeId="0" xr:uid="{B820BB51-2F52-4C51-A577-DE817FECFCD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45 bins split from Kib
</t>
        </r>
      </text>
    </comment>
  </commentList>
</comments>
</file>

<file path=xl/sharedStrings.xml><?xml version="1.0" encoding="utf-8"?>
<sst xmlns="http://schemas.openxmlformats.org/spreadsheetml/2006/main" count="129" uniqueCount="44">
  <si>
    <t>DAILY INFASCO SUMMARY</t>
  </si>
  <si>
    <t>Date</t>
  </si>
  <si>
    <t>Receiving</t>
  </si>
  <si>
    <t>Processing</t>
  </si>
  <si>
    <t>Shipping</t>
  </si>
  <si>
    <t>FINISHED PALLET-SHIPPED PALLET</t>
  </si>
  <si>
    <t>Inventory on floor</t>
  </si>
  <si>
    <t>#Anti-Fiction</t>
  </si>
  <si>
    <t>#Infasco</t>
  </si>
  <si>
    <t>#Total Received</t>
  </si>
  <si>
    <t>SPLIT TRAVELER INVENTORY</t>
  </si>
  <si>
    <t>#Daily Tr# Leftover</t>
  </si>
  <si>
    <t>WEEK 13</t>
  </si>
  <si>
    <t>Total:</t>
  </si>
  <si>
    <t xml:space="preserve">Total: </t>
  </si>
  <si>
    <t>WEEK 14</t>
  </si>
  <si>
    <t>WEEK 15</t>
  </si>
  <si>
    <t>9 BINS NO PO FROM JAN-APRIL</t>
  </si>
  <si>
    <t>WEEK 16</t>
  </si>
  <si>
    <t>traveler split from Kib</t>
  </si>
  <si>
    <t>WEEK 17</t>
  </si>
  <si>
    <t>WEEK 18</t>
  </si>
  <si>
    <t>WEEK 19</t>
  </si>
  <si>
    <t>WEEK 20</t>
  </si>
  <si>
    <t>WEEK 21</t>
  </si>
  <si>
    <t>WEEK 22</t>
  </si>
  <si>
    <t>WEEK 23</t>
  </si>
  <si>
    <t>SPLIT TRAVELER OF JUNE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</si>
  <si>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</si>
  <si>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</si>
  <si>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</si>
  <si>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</si>
  <si>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</si>
  <si>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</si>
  <si>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</si>
  <si>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</si>
  <si>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</si>
  <si>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</si>
  <si>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</si>
  <si>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#Daily Traveler Processing, total traveller s4</t>
  </si>
  <si>
    <t>#Daily Finished Pallets wrapping s18</t>
  </si>
  <si>
    <t>#Total Remaning
(Process-Finish pallet), assum</t>
  </si>
  <si>
    <t>#Daily Shipped Tr#(parking slip-count traveller/ daily</t>
  </si>
  <si>
    <t>#Daily Shipped Pallets (total parking slip many)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</si>
</sst>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0"/>
      <name val="Aharoni"/>
      <charset val="177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16" fontId="0" fillId="0" borderId="1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horizontal="left" wrapText="1"/>
    </xf>
    <xf numFmtId="0" fontId="0" fillId="0" borderId="16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1" xfId="0" applyBorder="1" applyAlignment="1">
      <alignment wrapText="1"/>
    </xf>
    <xf numFmtId="16" fontId="0" fillId="0" borderId="17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17" xfId="0" applyBorder="1"/>
    <xf numFmtId="0" fontId="0" fillId="0" borderId="17" xfId="0" applyBorder="1" applyAlignment="1">
      <alignment wrapText="1"/>
    </xf>
    <xf numFmtId="16" fontId="0" fillId="0" borderId="24" xfId="0" applyNumberFormat="1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6" xfId="0" applyBorder="1" applyAlignment="1">
      <alignment wrapText="1"/>
    </xf>
    <xf numFmtId="16" fontId="1" fillId="0" borderId="0" xfId="0" applyNumberFormat="1" applyFont="1" applyAlignment="1">
      <alignment wrapText="1"/>
    </xf>
    <xf numFmtId="0" fontId="1" fillId="0" borderId="19" xfId="0" applyFont="1" applyBorder="1" applyAlignment="1">
      <alignment horizontal="right" wrapText="1"/>
    </xf>
    <xf numFmtId="0" fontId="1" fillId="0" borderId="30" xfId="0" applyFont="1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32" xfId="0" applyFont="1" applyBorder="1" applyAlignment="1">
      <alignment horizontal="right" wrapText="1"/>
    </xf>
    <xf numFmtId="0" fontId="0" fillId="3" borderId="33" xfId="0" applyFill="1" applyBorder="1" applyAlignment="1">
      <alignment wrapText="1"/>
    </xf>
    <xf numFmtId="0" fontId="0" fillId="0" borderId="0" xfId="0" applyAlignment="1">
      <alignment horizontal="left" vertical="top" wrapText="1"/>
    </xf>
    <xf numFmtId="0" fontId="1" fillId="3" borderId="19" xfId="0" applyFont="1" applyFill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/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2" borderId="38" xfId="0" applyFill="1" applyBorder="1" applyAlignment="1">
      <alignment wrapText="1"/>
    </xf>
    <xf numFmtId="0" fontId="0" fillId="2" borderId="39" xfId="0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8" xfId="0" applyBorder="1" applyAlignment="1">
      <alignment wrapText="1"/>
    </xf>
    <xf numFmtId="0" fontId="1" fillId="0" borderId="23" xfId="0" applyFont="1" applyBorder="1" applyAlignment="1">
      <alignment horizontal="right" wrapText="1"/>
    </xf>
    <xf numFmtId="0" fontId="0" fillId="0" borderId="40" xfId="0" applyBorder="1" applyAlignment="1">
      <alignment wrapText="1"/>
    </xf>
    <xf numFmtId="0" fontId="0" fillId="3" borderId="41" xfId="0" applyFill="1" applyBorder="1" applyAlignment="1">
      <alignment wrapText="1"/>
    </xf>
    <xf numFmtId="0" fontId="0" fillId="2" borderId="19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16" fontId="1" fillId="0" borderId="19" xfId="0" applyNumberFormat="1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0" fillId="3" borderId="19" xfId="0" applyFill="1" applyBorder="1" applyAlignment="1">
      <alignment wrapText="1"/>
    </xf>
    <xf numFmtId="16" fontId="0" fillId="0" borderId="34" xfId="0" applyNumberFormat="1" applyBorder="1" applyAlignment="1">
      <alignment wrapText="1"/>
    </xf>
    <xf numFmtId="16" fontId="1" fillId="0" borderId="8" xfId="0" applyNumberFormat="1" applyFont="1" applyBorder="1" applyAlignment="1">
      <alignment wrapText="1"/>
    </xf>
    <xf numFmtId="16" fontId="1" fillId="0" borderId="38" xfId="0" applyNumberFormat="1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0" borderId="3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3" borderId="14" xfId="0" applyFill="1" applyBorder="1" applyAlignment="1">
      <alignment wrapText="1"/>
    </xf>
    <xf numFmtId="0" fontId="7" fillId="3" borderId="1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D6E7-5F4B-4186-A2ED-A17F239BC4A9}">
  <dimension ref="A1:O194"/>
  <sheetViews>
    <sheetView tabSelected="1" zoomScale="115" zoomScaleNormal="115" workbookViewId="0">
      <selection activeCell="C193" sqref="C193"/>
    </sheetView>
  </sheetViews>
  <sheetFormatPr defaultRowHeight="15" x14ac:dyDescent="0.25"/>
  <cols>
    <col min="3" max="3" width="15.42578125" customWidth="1"/>
    <col min="4" max="4" width="15.7109375" customWidth="1"/>
    <col min="5" max="5" width="17" customWidth="1"/>
    <col min="6" max="6" width="10.7109375" customWidth="1"/>
    <col min="7" max="7" width="19" customWidth="1"/>
    <col min="8" max="8" width="16.5703125" customWidth="1"/>
    <col min="9" max="9" width="18.5703125" customWidth="1"/>
    <col min="11" max="11" width="16.140625" customWidth="1"/>
    <col min="12" max="12" width="16.5703125" customWidth="1"/>
    <col min="13" max="14" width="17" customWidth="1"/>
    <col min="15" max="15" width="19.5703125" customWidth="1"/>
  </cols>
  <sheetData>
    <row r="1" spans="1:15" ht="60.75" x14ac:dyDescent="0.2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1"/>
    </row>
    <row r="2" spans="1:15" ht="61.5" thickBot="1" x14ac:dyDescent="0.3">
      <c r="A2" s="1">
        <v>668670</v>
      </c>
      <c r="B2" s="1"/>
      <c r="C2" s="1"/>
      <c r="D2" s="1"/>
      <c r="E2" s="1"/>
      <c r="F2" s="2"/>
      <c r="G2" s="1"/>
      <c r="H2" s="1"/>
      <c r="I2" s="1"/>
      <c r="J2" s="3"/>
      <c r="K2" s="1"/>
      <c r="L2" s="1"/>
      <c r="M2" s="1"/>
      <c r="N2" s="1"/>
    </row>
    <row r="3" spans="1:15" ht="23.25" x14ac:dyDescent="0.25">
      <c r="A3" s="81" t="s">
        <v>1</v>
      </c>
      <c r="B3" s="4"/>
      <c r="C3" s="83" t="s">
        <v>2</v>
      </c>
      <c r="D3" s="84"/>
      <c r="E3" s="85"/>
      <c r="F3" s="5"/>
      <c r="G3" s="83" t="s">
        <v>3</v>
      </c>
      <c r="H3" s="84"/>
      <c r="I3" s="85"/>
      <c r="J3" s="6"/>
      <c r="K3" s="83" t="s">
        <v>4</v>
      </c>
      <c r="L3" s="84"/>
      <c r="M3" s="85"/>
      <c r="N3" s="86" t="s">
        <v>5</v>
      </c>
      <c r="O3" s="77" t="s">
        <v>6</v>
      </c>
    </row>
    <row r="4" spans="1:15" ht="60.75" thickBot="1" x14ac:dyDescent="0.3">
      <c r="A4" s="82"/>
      <c r="B4" s="4"/>
      <c r="C4" s="7" t="s">
        <v>7</v>
      </c>
      <c r="D4" s="8" t="s">
        <v>8</v>
      </c>
      <c r="E4" s="9" t="s">
        <v>9</v>
      </c>
      <c r="F4" s="10" t="s">
        <v>10</v>
      </c>
      <c r="G4" s="7" t="s">
        <v>39</v>
      </c>
      <c r="H4" s="8" t="s">
        <v>40</v>
      </c>
      <c r="I4" s="9" t="s">
        <v>41</v>
      </c>
      <c r="J4" s="11"/>
      <c r="K4" s="7" t="s">
        <v>42</v>
      </c>
      <c r="L4" s="8" t="s">
        <v>43</v>
      </c>
      <c r="M4" s="9" t="s">
        <v>11</v>
      </c>
      <c r="N4" s="87"/>
      <c r="O4" s="78"/>
    </row>
    <row r="5" spans="1:15" ht="15.75" hidden="1" thickBot="1" x14ac:dyDescent="0.3">
      <c r="A5" s="12">
        <v>46111</v>
      </c>
      <c r="B5" s="13"/>
      <c r="C5" s="14">
        <v>54</v>
      </c>
      <c r="D5" s="15">
        <v>0</v>
      </c>
      <c r="E5" s="16">
        <f t="shared" ref="E5:E24" si="0">C5+D5</f>
        <v>54</v>
      </c>
      <c r="F5" s="76">
        <f>235+112</f>
        <v>347</v>
      </c>
      <c r="G5" s="14">
        <v>78</v>
      </c>
      <c r="H5" s="15">
        <v>84</v>
      </c>
      <c r="I5" s="16">
        <f t="shared" ref="I5:I24" si="1">H5-G5</f>
        <v>6</v>
      </c>
      <c r="J5" s="17"/>
      <c r="K5" s="14">
        <v>79</v>
      </c>
      <c r="L5" s="15">
        <v>80</v>
      </c>
      <c r="M5" s="18">
        <f>L5-K5</f>
        <v>1</v>
      </c>
      <c r="N5" s="19"/>
      <c r="O5" s="20"/>
    </row>
    <row r="6" spans="1:15" ht="15.75" hidden="1" thickBot="1" x14ac:dyDescent="0.3">
      <c r="A6" s="21">
        <v>46112</v>
      </c>
      <c r="B6" s="13"/>
      <c r="C6" s="22">
        <v>0</v>
      </c>
      <c r="D6" s="23">
        <v>32</v>
      </c>
      <c r="E6" s="24">
        <f t="shared" si="0"/>
        <v>32</v>
      </c>
      <c r="F6" s="76"/>
      <c r="G6" s="22">
        <v>72</v>
      </c>
      <c r="H6" s="23">
        <v>77</v>
      </c>
      <c r="I6" s="24">
        <f t="shared" si="1"/>
        <v>5</v>
      </c>
      <c r="J6" s="17"/>
      <c r="K6" s="22">
        <v>68</v>
      </c>
      <c r="L6" s="23">
        <v>80</v>
      </c>
      <c r="M6" s="25">
        <f t="shared" ref="M6:M24" si="2">L6-K6</f>
        <v>12</v>
      </c>
      <c r="N6" s="26"/>
      <c r="O6" s="27"/>
    </row>
    <row r="7" spans="1:15" ht="15.75" hidden="1" thickBot="1" x14ac:dyDescent="0.3">
      <c r="A7" s="21">
        <v>46113</v>
      </c>
      <c r="B7" s="13"/>
      <c r="C7" s="22">
        <v>71</v>
      </c>
      <c r="D7" s="23">
        <v>32</v>
      </c>
      <c r="E7" s="24">
        <f t="shared" si="0"/>
        <v>103</v>
      </c>
      <c r="F7" s="76"/>
      <c r="G7" s="22">
        <v>89</v>
      </c>
      <c r="H7" s="23">
        <v>95</v>
      </c>
      <c r="I7" s="24">
        <f t="shared" si="1"/>
        <v>6</v>
      </c>
      <c r="J7" s="17"/>
      <c r="K7" s="22">
        <v>82</v>
      </c>
      <c r="L7" s="23">
        <v>81</v>
      </c>
      <c r="M7" s="25">
        <f t="shared" si="2"/>
        <v>-1</v>
      </c>
      <c r="N7" s="26"/>
      <c r="O7" s="27"/>
    </row>
    <row r="8" spans="1:15" ht="15.75" hidden="1" thickBot="1" x14ac:dyDescent="0.3">
      <c r="A8" s="21">
        <v>46114</v>
      </c>
      <c r="B8" s="13"/>
      <c r="C8" s="22">
        <v>26</v>
      </c>
      <c r="D8" s="23">
        <v>32</v>
      </c>
      <c r="E8" s="24">
        <f t="shared" si="0"/>
        <v>58</v>
      </c>
      <c r="F8" s="76"/>
      <c r="G8" s="22">
        <v>83</v>
      </c>
      <c r="H8" s="23">
        <v>90</v>
      </c>
      <c r="I8" s="24">
        <f t="shared" si="1"/>
        <v>7</v>
      </c>
      <c r="J8" s="17"/>
      <c r="K8" s="22">
        <v>72</v>
      </c>
      <c r="L8" s="23">
        <v>77</v>
      </c>
      <c r="M8" s="25">
        <f t="shared" si="2"/>
        <v>5</v>
      </c>
      <c r="N8" s="28"/>
      <c r="O8" s="29"/>
    </row>
    <row r="9" spans="1:15" ht="15.75" hidden="1" thickBot="1" x14ac:dyDescent="0.3">
      <c r="A9" s="21">
        <v>46115</v>
      </c>
      <c r="B9" s="13"/>
      <c r="C9" s="22">
        <v>0</v>
      </c>
      <c r="D9" s="23">
        <v>36</v>
      </c>
      <c r="E9" s="24">
        <f t="shared" si="0"/>
        <v>36</v>
      </c>
      <c r="F9" s="76"/>
      <c r="G9" s="22">
        <v>48</v>
      </c>
      <c r="H9" s="23">
        <v>52</v>
      </c>
      <c r="I9" s="24">
        <f t="shared" si="1"/>
        <v>4</v>
      </c>
      <c r="J9" s="17"/>
      <c r="K9" s="22">
        <v>0</v>
      </c>
      <c r="L9" s="23">
        <v>0</v>
      </c>
      <c r="M9" s="25">
        <f t="shared" si="2"/>
        <v>0</v>
      </c>
      <c r="N9" s="28"/>
      <c r="O9" s="30"/>
    </row>
    <row r="10" spans="1:15" ht="15.75" hidden="1" thickBot="1" x14ac:dyDescent="0.3">
      <c r="A10" s="31">
        <v>46116</v>
      </c>
      <c r="B10" s="13"/>
      <c r="C10" s="32">
        <v>0</v>
      </c>
      <c r="D10" s="33">
        <v>0</v>
      </c>
      <c r="E10" s="34">
        <f t="shared" si="0"/>
        <v>0</v>
      </c>
      <c r="F10" s="79"/>
      <c r="G10" s="32">
        <v>0</v>
      </c>
      <c r="H10" s="33">
        <v>0</v>
      </c>
      <c r="I10" s="34">
        <f t="shared" si="1"/>
        <v>0</v>
      </c>
      <c r="J10" s="17"/>
      <c r="K10" s="32">
        <v>0</v>
      </c>
      <c r="L10" s="33">
        <v>0</v>
      </c>
      <c r="M10" s="35">
        <f t="shared" si="2"/>
        <v>0</v>
      </c>
      <c r="N10" s="36"/>
      <c r="O10" s="37"/>
    </row>
    <row r="11" spans="1:15" ht="15.75" hidden="1" thickBot="1" x14ac:dyDescent="0.3">
      <c r="A11" s="38" t="s">
        <v>12</v>
      </c>
      <c r="B11" s="39" t="s">
        <v>13</v>
      </c>
      <c r="C11" s="40">
        <f>SUM(C5:C10)</f>
        <v>151</v>
      </c>
      <c r="D11" s="41">
        <f>SUM(D5:D10)</f>
        <v>132</v>
      </c>
      <c r="E11" s="41">
        <f>SUM(C11:D11)+F5</f>
        <v>630</v>
      </c>
      <c r="F11" s="39"/>
      <c r="G11" s="40">
        <f>SUM(G5:G10)</f>
        <v>370</v>
      </c>
      <c r="H11" s="41">
        <f>SUM(H5:H10)</f>
        <v>398</v>
      </c>
      <c r="I11" s="42">
        <f>+H11-G11</f>
        <v>28</v>
      </c>
      <c r="J11" s="43" t="s">
        <v>14</v>
      </c>
      <c r="K11" s="40">
        <f>SUM(K5:K10)</f>
        <v>301</v>
      </c>
      <c r="L11" s="41">
        <f>SUM(L5:L10)</f>
        <v>318</v>
      </c>
      <c r="M11" s="41">
        <f>SUM(M5:M10)</f>
        <v>17</v>
      </c>
      <c r="N11" s="41"/>
      <c r="O11" s="44">
        <f>E11-K11</f>
        <v>329</v>
      </c>
    </row>
    <row r="12" spans="1:15" ht="15.75" hidden="1" thickBot="1" x14ac:dyDescent="0.3">
      <c r="A12" s="12">
        <v>46118</v>
      </c>
      <c r="B12" s="13"/>
      <c r="C12" s="14">
        <v>35</v>
      </c>
      <c r="D12" s="15">
        <v>0</v>
      </c>
      <c r="E12" s="16">
        <f t="shared" si="0"/>
        <v>35</v>
      </c>
      <c r="F12" s="45"/>
      <c r="G12" s="14">
        <v>59</v>
      </c>
      <c r="H12" s="15">
        <v>64</v>
      </c>
      <c r="I12" s="16">
        <f t="shared" si="1"/>
        <v>5</v>
      </c>
      <c r="J12" s="17"/>
      <c r="K12" s="14">
        <v>82</v>
      </c>
      <c r="L12" s="15">
        <v>85</v>
      </c>
      <c r="M12" s="18">
        <f t="shared" si="2"/>
        <v>3</v>
      </c>
      <c r="N12" s="19"/>
      <c r="O12" s="20"/>
    </row>
    <row r="13" spans="1:15" ht="15.75" hidden="1" thickBot="1" x14ac:dyDescent="0.3">
      <c r="A13" s="21">
        <v>46119</v>
      </c>
      <c r="B13" s="13"/>
      <c r="C13" s="22">
        <v>38</v>
      </c>
      <c r="D13" s="23">
        <v>74</v>
      </c>
      <c r="E13" s="24">
        <f t="shared" si="0"/>
        <v>112</v>
      </c>
      <c r="F13" s="45"/>
      <c r="G13" s="22">
        <v>63</v>
      </c>
      <c r="H13" s="23">
        <v>67</v>
      </c>
      <c r="I13" s="24">
        <f t="shared" si="1"/>
        <v>4</v>
      </c>
      <c r="J13" s="17"/>
      <c r="K13" s="22">
        <v>78</v>
      </c>
      <c r="L13" s="23">
        <v>82</v>
      </c>
      <c r="M13" s="25">
        <f t="shared" si="2"/>
        <v>4</v>
      </c>
      <c r="N13" s="26"/>
      <c r="O13" s="27"/>
    </row>
    <row r="14" spans="1:15" ht="15.75" hidden="1" thickBot="1" x14ac:dyDescent="0.3">
      <c r="A14" s="21">
        <v>46120</v>
      </c>
      <c r="B14" s="13"/>
      <c r="C14" s="22">
        <v>57</v>
      </c>
      <c r="D14" s="23">
        <v>29</v>
      </c>
      <c r="E14" s="24">
        <f t="shared" si="0"/>
        <v>86</v>
      </c>
      <c r="F14" s="45"/>
      <c r="G14" s="22">
        <v>83</v>
      </c>
      <c r="H14" s="23">
        <v>86</v>
      </c>
      <c r="I14" s="24">
        <f t="shared" si="1"/>
        <v>3</v>
      </c>
      <c r="J14" s="17"/>
      <c r="K14" s="22">
        <v>76</v>
      </c>
      <c r="L14" s="23">
        <v>79</v>
      </c>
      <c r="M14" s="25">
        <f t="shared" si="2"/>
        <v>3</v>
      </c>
      <c r="N14" s="26"/>
      <c r="O14" s="27"/>
    </row>
    <row r="15" spans="1:15" ht="15.75" hidden="1" thickBot="1" x14ac:dyDescent="0.3">
      <c r="A15" s="21">
        <v>46121</v>
      </c>
      <c r="B15" s="13"/>
      <c r="C15" s="22">
        <v>34</v>
      </c>
      <c r="D15" s="23">
        <v>34</v>
      </c>
      <c r="E15" s="24">
        <f t="shared" si="0"/>
        <v>68</v>
      </c>
      <c r="F15" s="45"/>
      <c r="G15" s="22">
        <v>98</v>
      </c>
      <c r="H15" s="23">
        <v>98</v>
      </c>
      <c r="I15" s="24">
        <f t="shared" si="1"/>
        <v>0</v>
      </c>
      <c r="J15" s="17"/>
      <c r="K15" s="22">
        <v>75</v>
      </c>
      <c r="L15" s="23">
        <f>41+40</f>
        <v>81</v>
      </c>
      <c r="M15" s="25">
        <f t="shared" si="2"/>
        <v>6</v>
      </c>
      <c r="N15" s="28"/>
      <c r="O15" s="29"/>
    </row>
    <row r="16" spans="1:15" ht="15.75" hidden="1" thickBot="1" x14ac:dyDescent="0.3">
      <c r="A16" s="21">
        <v>46122</v>
      </c>
      <c r="B16" s="13"/>
      <c r="C16" s="22">
        <f>35+33</f>
        <v>68</v>
      </c>
      <c r="D16" s="23">
        <v>28</v>
      </c>
      <c r="E16" s="24">
        <f t="shared" si="0"/>
        <v>96</v>
      </c>
      <c r="F16" s="45"/>
      <c r="G16" s="22">
        <v>82</v>
      </c>
      <c r="H16" s="23">
        <v>85</v>
      </c>
      <c r="I16" s="24">
        <f t="shared" si="1"/>
        <v>3</v>
      </c>
      <c r="J16" s="17"/>
      <c r="K16" s="22">
        <v>113</v>
      </c>
      <c r="L16" s="23">
        <v>121</v>
      </c>
      <c r="M16" s="25">
        <f t="shared" si="2"/>
        <v>8</v>
      </c>
      <c r="N16" s="28"/>
      <c r="O16" s="30"/>
    </row>
    <row r="17" spans="1:15" ht="15.75" hidden="1" thickBot="1" x14ac:dyDescent="0.3">
      <c r="A17" s="31">
        <v>46123</v>
      </c>
      <c r="B17" s="13"/>
      <c r="C17" s="32">
        <v>0</v>
      </c>
      <c r="D17" s="33">
        <v>10</v>
      </c>
      <c r="E17" s="34">
        <f t="shared" si="0"/>
        <v>10</v>
      </c>
      <c r="F17" s="45"/>
      <c r="G17" s="32">
        <v>0</v>
      </c>
      <c r="H17" s="33">
        <v>0</v>
      </c>
      <c r="I17" s="34">
        <f t="shared" si="1"/>
        <v>0</v>
      </c>
      <c r="J17" s="17"/>
      <c r="K17" s="32">
        <v>27</v>
      </c>
      <c r="L17" s="33">
        <v>30</v>
      </c>
      <c r="M17" s="35">
        <f t="shared" si="2"/>
        <v>3</v>
      </c>
      <c r="N17" s="36"/>
      <c r="O17" s="37"/>
    </row>
    <row r="18" spans="1:15" ht="15.75" hidden="1" thickBot="1" x14ac:dyDescent="0.3">
      <c r="A18" s="38" t="s">
        <v>15</v>
      </c>
      <c r="B18" s="39" t="s">
        <v>13</v>
      </c>
      <c r="C18" s="40">
        <f>SUM(C12:C17)</f>
        <v>232</v>
      </c>
      <c r="D18" s="41">
        <f>SUM(D12:D17)</f>
        <v>175</v>
      </c>
      <c r="E18" s="41">
        <f>SUM(C18:D18)+O11</f>
        <v>736</v>
      </c>
      <c r="F18" s="39"/>
      <c r="G18" s="40">
        <f>SUM(G12:G17)</f>
        <v>385</v>
      </c>
      <c r="H18" s="41">
        <f>SUM(H12:H17)</f>
        <v>400</v>
      </c>
      <c r="I18" s="42">
        <f>+H18-G18</f>
        <v>15</v>
      </c>
      <c r="J18" s="43" t="s">
        <v>14</v>
      </c>
      <c r="K18" s="40">
        <f>SUM(K12:K17)</f>
        <v>451</v>
      </c>
      <c r="L18" s="41">
        <f>SUM(L12:L17)</f>
        <v>478</v>
      </c>
      <c r="M18" s="41">
        <f>SUM(M12:M17)</f>
        <v>27</v>
      </c>
      <c r="N18" s="41"/>
      <c r="O18" s="44">
        <f>E18-K18</f>
        <v>285</v>
      </c>
    </row>
    <row r="19" spans="1:15" ht="15.75" hidden="1" thickBot="1" x14ac:dyDescent="0.3">
      <c r="A19" s="12">
        <v>46125</v>
      </c>
      <c r="B19" s="13"/>
      <c r="C19" s="14">
        <f>38+35</f>
        <v>73</v>
      </c>
      <c r="D19" s="15">
        <v>0</v>
      </c>
      <c r="E19" s="16">
        <f t="shared" si="0"/>
        <v>73</v>
      </c>
      <c r="F19" s="45"/>
      <c r="G19" s="14">
        <v>71</v>
      </c>
      <c r="H19" s="15">
        <v>75</v>
      </c>
      <c r="I19" s="16">
        <f t="shared" si="1"/>
        <v>4</v>
      </c>
      <c r="J19" s="17"/>
      <c r="K19" s="14">
        <v>74</v>
      </c>
      <c r="L19" s="15">
        <v>79</v>
      </c>
      <c r="M19" s="18">
        <f t="shared" si="2"/>
        <v>5</v>
      </c>
      <c r="N19" s="19"/>
      <c r="O19" s="20"/>
    </row>
    <row r="20" spans="1:15" ht="15.75" hidden="1" thickBot="1" x14ac:dyDescent="0.3">
      <c r="A20" s="21">
        <v>46126</v>
      </c>
      <c r="B20" s="13"/>
      <c r="C20" s="22">
        <v>0</v>
      </c>
      <c r="D20" s="23">
        <f>42+36</f>
        <v>78</v>
      </c>
      <c r="E20" s="24">
        <f t="shared" si="0"/>
        <v>78</v>
      </c>
      <c r="F20" s="45"/>
      <c r="G20" s="22">
        <v>82</v>
      </c>
      <c r="H20" s="23">
        <v>85</v>
      </c>
      <c r="I20" s="24">
        <f t="shared" si="1"/>
        <v>3</v>
      </c>
      <c r="J20" s="17"/>
      <c r="K20" s="22">
        <v>73</v>
      </c>
      <c r="L20" s="23">
        <v>79</v>
      </c>
      <c r="M20" s="25">
        <f t="shared" si="2"/>
        <v>6</v>
      </c>
      <c r="N20" s="26"/>
      <c r="O20" s="27"/>
    </row>
    <row r="21" spans="1:15" ht="15.75" hidden="1" thickBot="1" x14ac:dyDescent="0.3">
      <c r="A21" s="21">
        <v>46127</v>
      </c>
      <c r="B21" s="13"/>
      <c r="C21" s="22">
        <f>37+23</f>
        <v>60</v>
      </c>
      <c r="D21" s="23">
        <v>34</v>
      </c>
      <c r="E21" s="24">
        <f t="shared" si="0"/>
        <v>94</v>
      </c>
      <c r="F21" s="45"/>
      <c r="G21" s="22">
        <v>93</v>
      </c>
      <c r="H21" s="23">
        <v>93</v>
      </c>
      <c r="I21" s="24">
        <f t="shared" si="1"/>
        <v>0</v>
      </c>
      <c r="J21" s="17"/>
      <c r="K21" s="22">
        <v>81</v>
      </c>
      <c r="L21" s="23">
        <f>43+40</f>
        <v>83</v>
      </c>
      <c r="M21" s="25">
        <f t="shared" si="2"/>
        <v>2</v>
      </c>
      <c r="N21" s="26"/>
      <c r="O21" s="27"/>
    </row>
    <row r="22" spans="1:15" ht="15.75" hidden="1" thickBot="1" x14ac:dyDescent="0.3">
      <c r="A22" s="21">
        <v>46128</v>
      </c>
      <c r="B22" s="13"/>
      <c r="C22" s="22">
        <v>24</v>
      </c>
      <c r="D22" s="23">
        <f>29+1</f>
        <v>30</v>
      </c>
      <c r="E22" s="24">
        <f t="shared" si="0"/>
        <v>54</v>
      </c>
      <c r="F22" s="45"/>
      <c r="G22" s="22">
        <v>78</v>
      </c>
      <c r="H22" s="23">
        <v>87</v>
      </c>
      <c r="I22" s="24">
        <f t="shared" si="1"/>
        <v>9</v>
      </c>
      <c r="J22" s="17"/>
      <c r="K22" s="22">
        <v>80</v>
      </c>
      <c r="L22" s="23">
        <v>87</v>
      </c>
      <c r="M22" s="25">
        <f t="shared" si="2"/>
        <v>7</v>
      </c>
      <c r="N22" s="28"/>
      <c r="O22" s="29"/>
    </row>
    <row r="23" spans="1:15" ht="15.75" hidden="1" thickBot="1" x14ac:dyDescent="0.3">
      <c r="A23" s="21">
        <v>46129</v>
      </c>
      <c r="B23" s="13"/>
      <c r="C23" s="22">
        <v>35</v>
      </c>
      <c r="D23" s="23">
        <f>31+38</f>
        <v>69</v>
      </c>
      <c r="E23" s="24">
        <f t="shared" si="0"/>
        <v>104</v>
      </c>
      <c r="F23" s="45"/>
      <c r="G23" s="22">
        <v>77</v>
      </c>
      <c r="H23" s="23">
        <v>82</v>
      </c>
      <c r="I23" s="24">
        <f t="shared" si="1"/>
        <v>5</v>
      </c>
      <c r="J23" s="17"/>
      <c r="K23" s="22">
        <v>115</v>
      </c>
      <c r="L23" s="23">
        <f>37+43+42</f>
        <v>122</v>
      </c>
      <c r="M23" s="25">
        <f t="shared" si="2"/>
        <v>7</v>
      </c>
      <c r="N23" s="28"/>
      <c r="O23" s="30"/>
    </row>
    <row r="24" spans="1:15" ht="15.75" hidden="1" thickBot="1" x14ac:dyDescent="0.3">
      <c r="A24" s="31">
        <v>46130</v>
      </c>
      <c r="B24" s="13"/>
      <c r="C24" s="32">
        <v>0</v>
      </c>
      <c r="D24" s="33">
        <v>32</v>
      </c>
      <c r="E24" s="34">
        <f t="shared" si="0"/>
        <v>32</v>
      </c>
      <c r="F24" s="45"/>
      <c r="G24" s="32">
        <v>0</v>
      </c>
      <c r="H24" s="33">
        <v>0</v>
      </c>
      <c r="I24" s="34">
        <f t="shared" si="1"/>
        <v>0</v>
      </c>
      <c r="J24" s="17"/>
      <c r="K24" s="32">
        <v>0</v>
      </c>
      <c r="L24" s="33">
        <v>0</v>
      </c>
      <c r="M24" s="35">
        <f t="shared" si="2"/>
        <v>0</v>
      </c>
      <c r="N24" s="36"/>
      <c r="O24" s="37"/>
    </row>
    <row r="25" spans="1:15" ht="15.75" hidden="1" thickBot="1" x14ac:dyDescent="0.3">
      <c r="A25" s="38" t="s">
        <v>16</v>
      </c>
      <c r="B25" s="39" t="s">
        <v>13</v>
      </c>
      <c r="C25" s="40">
        <f>SUM(C19:C24)</f>
        <v>192</v>
      </c>
      <c r="D25" s="41">
        <f>SUM(D19:D24)</f>
        <v>243</v>
      </c>
      <c r="E25" s="41">
        <f>SUM(C25:D25)+O18</f>
        <v>720</v>
      </c>
      <c r="F25" s="39"/>
      <c r="G25" s="40">
        <f>SUM(G19:G24)</f>
        <v>401</v>
      </c>
      <c r="H25" s="41">
        <f>SUM(H19:H24)</f>
        <v>422</v>
      </c>
      <c r="I25" s="42">
        <f>+H25-G25</f>
        <v>21</v>
      </c>
      <c r="J25" s="43" t="s">
        <v>14</v>
      </c>
      <c r="K25" s="40">
        <f>SUM(K19:K24)</f>
        <v>423</v>
      </c>
      <c r="L25" s="41">
        <f>SUM(L19:L24)</f>
        <v>450</v>
      </c>
      <c r="M25" s="41">
        <f>SUM(M19:M24)</f>
        <v>27</v>
      </c>
      <c r="N25" s="41"/>
      <c r="O25" s="44">
        <f>E25-K25</f>
        <v>297</v>
      </c>
    </row>
    <row r="26" spans="1:15" ht="15.75" hidden="1" thickBot="1" x14ac:dyDescent="0.3">
      <c r="A26" s="12">
        <v>46132</v>
      </c>
      <c r="B26" s="13"/>
      <c r="C26" s="14">
        <v>36</v>
      </c>
      <c r="D26" s="15">
        <v>0</v>
      </c>
      <c r="E26" s="16">
        <f t="shared" ref="E26:E31" si="3">C26+D26</f>
        <v>36</v>
      </c>
      <c r="F26" s="45"/>
      <c r="G26" s="14">
        <v>91</v>
      </c>
      <c r="H26" s="15">
        <v>96</v>
      </c>
      <c r="I26" s="16">
        <f t="shared" ref="I26:I31" si="4">H26-G26</f>
        <v>5</v>
      </c>
      <c r="J26" s="17"/>
      <c r="K26" s="14">
        <v>74</v>
      </c>
      <c r="L26" s="15">
        <v>78</v>
      </c>
      <c r="M26" s="18">
        <f t="shared" ref="M26:M31" si="5">L26-K26</f>
        <v>4</v>
      </c>
      <c r="N26" s="19"/>
      <c r="O26" s="20"/>
    </row>
    <row r="27" spans="1:15" ht="15.75" hidden="1" thickBot="1" x14ac:dyDescent="0.3">
      <c r="A27" s="21">
        <v>46133</v>
      </c>
      <c r="B27" s="13"/>
      <c r="C27" s="22">
        <v>34</v>
      </c>
      <c r="D27" s="23">
        <v>35</v>
      </c>
      <c r="E27" s="24">
        <f t="shared" si="3"/>
        <v>69</v>
      </c>
      <c r="F27" s="45"/>
      <c r="G27" s="22">
        <v>94</v>
      </c>
      <c r="H27" s="23">
        <v>94</v>
      </c>
      <c r="I27" s="24">
        <f t="shared" si="4"/>
        <v>0</v>
      </c>
      <c r="J27" s="17"/>
      <c r="K27" s="22">
        <v>80</v>
      </c>
      <c r="L27" s="23">
        <v>84</v>
      </c>
      <c r="M27" s="25">
        <f t="shared" si="5"/>
        <v>4</v>
      </c>
      <c r="N27" s="26"/>
      <c r="O27" s="27"/>
    </row>
    <row r="28" spans="1:15" ht="15.75" hidden="1" thickBot="1" x14ac:dyDescent="0.3">
      <c r="A28" s="21">
        <v>46134</v>
      </c>
      <c r="B28" s="13"/>
      <c r="C28" s="22">
        <v>37</v>
      </c>
      <c r="D28" s="23">
        <f>5+35</f>
        <v>40</v>
      </c>
      <c r="E28" s="24">
        <f t="shared" si="3"/>
        <v>77</v>
      </c>
      <c r="F28" s="45"/>
      <c r="G28" s="22">
        <v>72</v>
      </c>
      <c r="H28" s="23">
        <v>80</v>
      </c>
      <c r="I28" s="24">
        <f t="shared" si="4"/>
        <v>8</v>
      </c>
      <c r="J28" s="17"/>
      <c r="K28" s="22">
        <v>75</v>
      </c>
      <c r="L28" s="23">
        <v>81</v>
      </c>
      <c r="M28" s="25">
        <f t="shared" si="5"/>
        <v>6</v>
      </c>
      <c r="N28" s="26"/>
      <c r="O28" s="27"/>
    </row>
    <row r="29" spans="1:15" ht="15.75" hidden="1" thickBot="1" x14ac:dyDescent="0.3">
      <c r="A29" s="21">
        <v>46135</v>
      </c>
      <c r="B29" s="13"/>
      <c r="C29" s="22">
        <f>35+35</f>
        <v>70</v>
      </c>
      <c r="D29" s="23">
        <v>24</v>
      </c>
      <c r="E29" s="24">
        <f t="shared" si="3"/>
        <v>94</v>
      </c>
      <c r="F29" s="45"/>
      <c r="G29" s="22">
        <v>91</v>
      </c>
      <c r="H29" s="23">
        <v>101</v>
      </c>
      <c r="I29" s="24">
        <f t="shared" si="4"/>
        <v>10</v>
      </c>
      <c r="J29" s="17"/>
      <c r="K29" s="22">
        <v>76</v>
      </c>
      <c r="L29" s="23">
        <v>80</v>
      </c>
      <c r="M29" s="25">
        <f t="shared" si="5"/>
        <v>4</v>
      </c>
      <c r="N29" s="28"/>
      <c r="O29" s="29"/>
    </row>
    <row r="30" spans="1:15" ht="15.75" hidden="1" thickBot="1" x14ac:dyDescent="0.3">
      <c r="A30" s="21">
        <v>46136</v>
      </c>
      <c r="B30" s="13"/>
      <c r="C30" s="22">
        <f>37+39</f>
        <v>76</v>
      </c>
      <c r="D30" s="23">
        <v>33</v>
      </c>
      <c r="E30" s="24">
        <f t="shared" si="3"/>
        <v>109</v>
      </c>
      <c r="F30" s="45"/>
      <c r="G30" s="22">
        <v>87</v>
      </c>
      <c r="H30" s="23">
        <v>95</v>
      </c>
      <c r="I30" s="24">
        <f t="shared" si="4"/>
        <v>8</v>
      </c>
      <c r="J30" s="17"/>
      <c r="K30" s="22">
        <v>120</v>
      </c>
      <c r="L30" s="23">
        <v>113</v>
      </c>
      <c r="M30" s="25">
        <f t="shared" si="5"/>
        <v>-7</v>
      </c>
      <c r="N30" s="28"/>
      <c r="O30" s="30"/>
    </row>
    <row r="31" spans="1:15" ht="45.75" hidden="1" thickBot="1" x14ac:dyDescent="0.3">
      <c r="A31" s="31">
        <v>46137</v>
      </c>
      <c r="B31" s="13"/>
      <c r="C31" s="32">
        <v>9</v>
      </c>
      <c r="D31" s="33">
        <v>35</v>
      </c>
      <c r="E31" s="34">
        <f t="shared" si="3"/>
        <v>44</v>
      </c>
      <c r="F31" s="45" t="s">
        <v>17</v>
      </c>
      <c r="G31" s="32">
        <v>57</v>
      </c>
      <c r="H31" s="33">
        <v>60</v>
      </c>
      <c r="I31" s="34">
        <f t="shared" si="4"/>
        <v>3</v>
      </c>
      <c r="J31" s="17"/>
      <c r="K31" s="32">
        <v>0</v>
      </c>
      <c r="L31" s="33">
        <v>0</v>
      </c>
      <c r="M31" s="35">
        <f t="shared" si="5"/>
        <v>0</v>
      </c>
      <c r="N31" s="36"/>
      <c r="O31" s="37"/>
    </row>
    <row r="32" spans="1:15" ht="45.75" hidden="1" thickBot="1" x14ac:dyDescent="0.3">
      <c r="A32" s="38" t="s">
        <v>18</v>
      </c>
      <c r="B32" s="39" t="s">
        <v>13</v>
      </c>
      <c r="C32" s="40">
        <f>SUM(C26:C31)</f>
        <v>262</v>
      </c>
      <c r="D32" s="41">
        <f>SUM(D26:D31)</f>
        <v>167</v>
      </c>
      <c r="E32" s="41">
        <f>SUM(C32:D32)+O25</f>
        <v>726</v>
      </c>
      <c r="F32" s="46" t="s">
        <v>19</v>
      </c>
      <c r="G32" s="40">
        <f>SUM(G26:G31)</f>
        <v>492</v>
      </c>
      <c r="H32" s="41">
        <f>SUM(H26:H31)</f>
        <v>526</v>
      </c>
      <c r="I32" s="42">
        <f>+H32-G32</f>
        <v>34</v>
      </c>
      <c r="J32" s="43" t="s">
        <v>14</v>
      </c>
      <c r="K32" s="40">
        <f>SUM(K26:K31)</f>
        <v>425</v>
      </c>
      <c r="L32" s="41">
        <f>SUM(L26:L31)</f>
        <v>436</v>
      </c>
      <c r="M32" s="41">
        <f>SUM(M26:M31)</f>
        <v>11</v>
      </c>
      <c r="N32" s="41"/>
      <c r="O32" s="44">
        <f>E32-K32</f>
        <v>301</v>
      </c>
    </row>
    <row r="33" spans="1:15" ht="15.75" hidden="1" thickBot="1" x14ac:dyDescent="0.3">
      <c r="A33" s="12">
        <v>46139</v>
      </c>
      <c r="B33" s="13"/>
      <c r="C33" s="14">
        <f>31+37</f>
        <v>68</v>
      </c>
      <c r="D33" s="15">
        <v>0</v>
      </c>
      <c r="E33" s="16">
        <f t="shared" ref="E33:E38" si="6">C33+D33</f>
        <v>68</v>
      </c>
      <c r="F33" s="75">
        <v>64</v>
      </c>
      <c r="G33" s="14">
        <v>85</v>
      </c>
      <c r="H33" s="15">
        <v>90</v>
      </c>
      <c r="I33" s="16">
        <f t="shared" ref="I33:I38" si="7">H33-G33</f>
        <v>5</v>
      </c>
      <c r="J33" s="17"/>
      <c r="K33" s="14">
        <v>76</v>
      </c>
      <c r="L33" s="15">
        <f>43+38</f>
        <v>81</v>
      </c>
      <c r="M33" s="18">
        <f t="shared" ref="M33:M38" si="8">L33-K33</f>
        <v>5</v>
      </c>
      <c r="N33" s="19"/>
      <c r="O33" s="20"/>
    </row>
    <row r="34" spans="1:15" ht="15.75" hidden="1" thickBot="1" x14ac:dyDescent="0.3">
      <c r="A34" s="21">
        <v>46140</v>
      </c>
      <c r="B34" s="13"/>
      <c r="C34" s="22">
        <v>32</v>
      </c>
      <c r="D34" s="23">
        <v>31</v>
      </c>
      <c r="E34" s="24">
        <f t="shared" si="6"/>
        <v>63</v>
      </c>
      <c r="F34" s="76"/>
      <c r="G34" s="22">
        <v>73</v>
      </c>
      <c r="H34" s="23">
        <v>76</v>
      </c>
      <c r="I34" s="24">
        <f t="shared" si="7"/>
        <v>3</v>
      </c>
      <c r="J34" s="17"/>
      <c r="K34" s="22">
        <v>83</v>
      </c>
      <c r="L34" s="23">
        <v>82</v>
      </c>
      <c r="M34" s="25">
        <f t="shared" si="8"/>
        <v>-1</v>
      </c>
      <c r="N34" s="26"/>
      <c r="O34" s="27"/>
    </row>
    <row r="35" spans="1:15" ht="15.75" hidden="1" thickBot="1" x14ac:dyDescent="0.3">
      <c r="A35" s="21">
        <v>46141</v>
      </c>
      <c r="B35" s="13"/>
      <c r="C35" s="22">
        <f>34+27</f>
        <v>61</v>
      </c>
      <c r="D35" s="23">
        <v>34</v>
      </c>
      <c r="E35" s="24">
        <f t="shared" si="6"/>
        <v>95</v>
      </c>
      <c r="F35" s="76"/>
      <c r="G35" s="22">
        <v>90</v>
      </c>
      <c r="H35" s="23">
        <v>92</v>
      </c>
      <c r="I35" s="24">
        <f t="shared" si="7"/>
        <v>2</v>
      </c>
      <c r="J35" s="17"/>
      <c r="K35" s="22">
        <v>111</v>
      </c>
      <c r="L35" s="23">
        <f>35+36+41</f>
        <v>112</v>
      </c>
      <c r="M35" s="25">
        <f t="shared" si="8"/>
        <v>1</v>
      </c>
      <c r="N35" s="26"/>
      <c r="O35" s="27"/>
    </row>
    <row r="36" spans="1:15" ht="15.75" hidden="1" thickBot="1" x14ac:dyDescent="0.3">
      <c r="A36" s="21">
        <v>46142</v>
      </c>
      <c r="B36" s="13"/>
      <c r="C36" s="22">
        <v>25</v>
      </c>
      <c r="D36" s="23">
        <v>31</v>
      </c>
      <c r="E36" s="24">
        <f t="shared" si="6"/>
        <v>56</v>
      </c>
      <c r="F36" s="76"/>
      <c r="G36" s="22">
        <v>83</v>
      </c>
      <c r="H36" s="23">
        <v>85</v>
      </c>
      <c r="I36" s="24">
        <f t="shared" si="7"/>
        <v>2</v>
      </c>
      <c r="J36" s="17"/>
      <c r="K36" s="22">
        <v>80</v>
      </c>
      <c r="L36" s="23">
        <f>40+42</f>
        <v>82</v>
      </c>
      <c r="M36" s="25">
        <f t="shared" si="8"/>
        <v>2</v>
      </c>
      <c r="N36" s="28"/>
      <c r="O36" s="29"/>
    </row>
    <row r="37" spans="1:15" ht="15.75" hidden="1" thickBot="1" x14ac:dyDescent="0.3">
      <c r="A37" s="21">
        <v>46143</v>
      </c>
      <c r="B37" s="13"/>
      <c r="C37" s="22">
        <f>23+34</f>
        <v>57</v>
      </c>
      <c r="D37" s="23">
        <v>38</v>
      </c>
      <c r="E37" s="24">
        <f t="shared" si="6"/>
        <v>95</v>
      </c>
      <c r="F37" s="76"/>
      <c r="G37" s="22">
        <v>76</v>
      </c>
      <c r="H37" s="23">
        <v>80</v>
      </c>
      <c r="I37" s="24">
        <f t="shared" si="7"/>
        <v>4</v>
      </c>
      <c r="J37" s="17"/>
      <c r="K37" s="22">
        <v>103</v>
      </c>
      <c r="L37" s="23">
        <v>113</v>
      </c>
      <c r="M37" s="25">
        <f t="shared" si="8"/>
        <v>10</v>
      </c>
      <c r="N37" s="28"/>
      <c r="O37" s="30"/>
    </row>
    <row r="38" spans="1:15" ht="15.75" hidden="1" thickBot="1" x14ac:dyDescent="0.3">
      <c r="A38" s="31">
        <v>46146</v>
      </c>
      <c r="B38" s="13"/>
      <c r="C38" s="32">
        <v>0</v>
      </c>
      <c r="D38" s="33">
        <v>34</v>
      </c>
      <c r="E38" s="34">
        <f t="shared" si="6"/>
        <v>34</v>
      </c>
      <c r="F38" s="79"/>
      <c r="G38" s="32">
        <v>0</v>
      </c>
      <c r="H38" s="33">
        <v>0</v>
      </c>
      <c r="I38" s="34">
        <f t="shared" si="7"/>
        <v>0</v>
      </c>
      <c r="J38" s="17"/>
      <c r="K38" s="32">
        <v>0</v>
      </c>
      <c r="L38" s="33">
        <v>0</v>
      </c>
      <c r="M38" s="35">
        <f t="shared" si="8"/>
        <v>0</v>
      </c>
      <c r="N38" s="36"/>
      <c r="O38" s="37"/>
    </row>
    <row r="39" spans="1:15" ht="15.75" hidden="1" thickBot="1" x14ac:dyDescent="0.3">
      <c r="A39" s="38" t="s">
        <v>20</v>
      </c>
      <c r="B39" s="39" t="s">
        <v>13</v>
      </c>
      <c r="C39" s="40">
        <f>SUM(C33:C38)</f>
        <v>243</v>
      </c>
      <c r="D39" s="41">
        <f>SUM(D33:D38)</f>
        <v>168</v>
      </c>
      <c r="E39" s="41">
        <f>SUM(C39:D39)+O32+F33</f>
        <v>776</v>
      </c>
      <c r="F39" s="39"/>
      <c r="G39" s="40">
        <f>SUM(G33:G38)</f>
        <v>407</v>
      </c>
      <c r="H39" s="41">
        <f>SUM(H33:H38)</f>
        <v>423</v>
      </c>
      <c r="I39" s="42">
        <f>+H39-G39</f>
        <v>16</v>
      </c>
      <c r="J39" s="43" t="s">
        <v>14</v>
      </c>
      <c r="K39" s="40">
        <f>SUM(K33:K38)</f>
        <v>453</v>
      </c>
      <c r="L39" s="41">
        <f>SUM(L33:L38)</f>
        <v>470</v>
      </c>
      <c r="M39" s="41">
        <f>SUM(M33:M38)</f>
        <v>17</v>
      </c>
      <c r="N39" s="41"/>
      <c r="O39" s="44">
        <f>E39-K39</f>
        <v>323</v>
      </c>
    </row>
    <row r="40" spans="1:15" ht="15.75" hidden="1" thickBot="1" x14ac:dyDescent="0.3">
      <c r="A40" s="12">
        <v>46146</v>
      </c>
      <c r="B40" s="13"/>
      <c r="C40" s="14">
        <v>28</v>
      </c>
      <c r="D40" s="15">
        <v>0</v>
      </c>
      <c r="E40" s="16">
        <f t="shared" ref="E40:E45" si="9">C40+D40</f>
        <v>28</v>
      </c>
      <c r="F40" s="45"/>
      <c r="G40" s="14">
        <v>93</v>
      </c>
      <c r="H40" s="15">
        <v>96</v>
      </c>
      <c r="I40" s="16">
        <f t="shared" ref="I40:I45" si="10">H40-G40</f>
        <v>3</v>
      </c>
      <c r="J40" s="17"/>
      <c r="K40" s="14">
        <v>76</v>
      </c>
      <c r="L40" s="15">
        <v>82</v>
      </c>
      <c r="M40" s="18">
        <f t="shared" ref="M40:M45" si="11">L40-K40</f>
        <v>6</v>
      </c>
      <c r="N40" s="19"/>
      <c r="O40" s="20"/>
    </row>
    <row r="41" spans="1:15" ht="15.75" hidden="1" thickBot="1" x14ac:dyDescent="0.3">
      <c r="A41" s="21">
        <v>46147</v>
      </c>
      <c r="B41" s="13"/>
      <c r="C41" s="22">
        <v>35</v>
      </c>
      <c r="D41" s="23">
        <f>35+34</f>
        <v>69</v>
      </c>
      <c r="E41" s="24">
        <f t="shared" si="9"/>
        <v>104</v>
      </c>
      <c r="F41" s="45"/>
      <c r="G41" s="22">
        <v>83</v>
      </c>
      <c r="H41" s="23">
        <v>90</v>
      </c>
      <c r="I41" s="24">
        <f t="shared" si="10"/>
        <v>7</v>
      </c>
      <c r="J41" s="17"/>
      <c r="K41" s="22">
        <v>78</v>
      </c>
      <c r="L41" s="23">
        <f>40+38</f>
        <v>78</v>
      </c>
      <c r="M41" s="25">
        <f t="shared" si="11"/>
        <v>0</v>
      </c>
      <c r="N41" s="26"/>
      <c r="O41" s="27"/>
    </row>
    <row r="42" spans="1:15" ht="15.75" hidden="1" thickBot="1" x14ac:dyDescent="0.3">
      <c r="A42" s="21">
        <v>46148</v>
      </c>
      <c r="B42" s="13"/>
      <c r="C42" s="22">
        <f>36+17</f>
        <v>53</v>
      </c>
      <c r="D42" s="23">
        <v>29</v>
      </c>
      <c r="E42" s="24">
        <f t="shared" si="9"/>
        <v>82</v>
      </c>
      <c r="F42" s="45"/>
      <c r="G42" s="22">
        <v>87</v>
      </c>
      <c r="H42" s="23">
        <v>95</v>
      </c>
      <c r="I42" s="24">
        <f t="shared" si="10"/>
        <v>8</v>
      </c>
      <c r="J42" s="17"/>
      <c r="K42" s="22">
        <v>115</v>
      </c>
      <c r="L42" s="23">
        <v>122</v>
      </c>
      <c r="M42" s="25">
        <f t="shared" si="11"/>
        <v>7</v>
      </c>
      <c r="N42" s="26"/>
      <c r="O42" s="27"/>
    </row>
    <row r="43" spans="1:15" ht="15.75" hidden="1" thickBot="1" x14ac:dyDescent="0.3">
      <c r="A43" s="21">
        <v>46149</v>
      </c>
      <c r="B43" s="13"/>
      <c r="C43" s="22">
        <v>23</v>
      </c>
      <c r="D43" s="23">
        <v>34</v>
      </c>
      <c r="E43" s="24">
        <f t="shared" si="9"/>
        <v>57</v>
      </c>
      <c r="F43" s="45"/>
      <c r="G43" s="22">
        <v>70</v>
      </c>
      <c r="H43" s="23">
        <v>70</v>
      </c>
      <c r="I43" s="24">
        <f t="shared" si="10"/>
        <v>0</v>
      </c>
      <c r="J43" s="17"/>
      <c r="K43" s="22">
        <v>77</v>
      </c>
      <c r="L43" s="23">
        <f>42+36</f>
        <v>78</v>
      </c>
      <c r="M43" s="25">
        <f t="shared" si="11"/>
        <v>1</v>
      </c>
      <c r="N43" s="28"/>
      <c r="O43" s="29"/>
    </row>
    <row r="44" spans="1:15" ht="15.75" hidden="1" thickBot="1" x14ac:dyDescent="0.3">
      <c r="A44" s="21">
        <v>46150</v>
      </c>
      <c r="B44" s="13"/>
      <c r="C44" s="22">
        <f>22+34</f>
        <v>56</v>
      </c>
      <c r="D44" s="23">
        <v>12</v>
      </c>
      <c r="E44" s="24">
        <f t="shared" si="9"/>
        <v>68</v>
      </c>
      <c r="F44" s="45"/>
      <c r="G44" s="22">
        <v>77</v>
      </c>
      <c r="H44" s="23">
        <v>80</v>
      </c>
      <c r="I44" s="24">
        <f t="shared" si="10"/>
        <v>3</v>
      </c>
      <c r="J44" s="17"/>
      <c r="K44" s="22">
        <v>100</v>
      </c>
      <c r="L44" s="23">
        <v>103</v>
      </c>
      <c r="M44" s="25">
        <f t="shared" si="11"/>
        <v>3</v>
      </c>
      <c r="N44" s="28"/>
      <c r="O44" s="30"/>
    </row>
    <row r="45" spans="1:15" ht="15.75" hidden="1" thickBot="1" x14ac:dyDescent="0.3">
      <c r="A45" s="31">
        <v>46151</v>
      </c>
      <c r="B45" s="13"/>
      <c r="C45" s="32">
        <v>0</v>
      </c>
      <c r="D45" s="33">
        <v>32</v>
      </c>
      <c r="E45" s="34">
        <f t="shared" si="9"/>
        <v>32</v>
      </c>
      <c r="F45" s="45"/>
      <c r="G45" s="32">
        <v>57</v>
      </c>
      <c r="H45" s="33">
        <v>60</v>
      </c>
      <c r="I45" s="34">
        <f t="shared" si="10"/>
        <v>3</v>
      </c>
      <c r="J45" s="17"/>
      <c r="K45" s="32">
        <v>0</v>
      </c>
      <c r="L45" s="33">
        <v>0</v>
      </c>
      <c r="M45" s="35">
        <f t="shared" si="11"/>
        <v>0</v>
      </c>
      <c r="N45" s="36"/>
      <c r="O45" s="37"/>
    </row>
    <row r="46" spans="1:15" ht="0.75" customHeight="1" x14ac:dyDescent="0.25">
      <c r="A46" s="38" t="s">
        <v>21</v>
      </c>
      <c r="B46" s="39" t="s">
        <v>13</v>
      </c>
      <c r="C46" s="40">
        <f>SUM(C40:C45)</f>
        <v>195</v>
      </c>
      <c r="D46" s="41">
        <f>SUM(D40:D45)</f>
        <v>176</v>
      </c>
      <c r="E46" s="41">
        <f>SUM(C46:D46)+O39</f>
        <v>694</v>
      </c>
      <c r="F46" s="39"/>
      <c r="G46" s="40">
        <f>SUM(G40:G45)</f>
        <v>467</v>
      </c>
      <c r="H46" s="41">
        <f>SUM(H40:H45)</f>
        <v>491</v>
      </c>
      <c r="I46" s="42">
        <f>+H46-G46</f>
        <v>24</v>
      </c>
      <c r="J46" s="43" t="s">
        <v>14</v>
      </c>
      <c r="K46" s="40">
        <f>SUM(K40:K45)</f>
        <v>446</v>
      </c>
      <c r="L46" s="41">
        <f>SUM(L40:L45)</f>
        <v>463</v>
      </c>
      <c r="M46" s="41">
        <f>SUM(M40:M45)</f>
        <v>17</v>
      </c>
      <c r="N46" s="41"/>
      <c r="O46" s="44">
        <f>E46-K46</f>
        <v>248</v>
      </c>
    </row>
    <row r="47" spans="1:15" hidden="1" x14ac:dyDescent="0.25">
      <c r="A47" s="12">
        <v>46153</v>
      </c>
      <c r="B47" s="13"/>
      <c r="C47" s="14">
        <v>30</v>
      </c>
      <c r="D47" s="15">
        <v>34</v>
      </c>
      <c r="E47" s="16">
        <f t="shared" ref="E47:E52" si="12">C47+D47</f>
        <v>64</v>
      </c>
      <c r="F47" s="45"/>
      <c r="G47" s="14">
        <v>75</v>
      </c>
      <c r="H47" s="15">
        <v>80</v>
      </c>
      <c r="I47" s="16">
        <f t="shared" ref="I47:I52" si="13">H47-G47</f>
        <v>5</v>
      </c>
      <c r="J47" s="17"/>
      <c r="K47" s="14">
        <v>72</v>
      </c>
      <c r="L47" s="15">
        <v>78</v>
      </c>
      <c r="M47" s="18">
        <f>E47-K47</f>
        <v>-8</v>
      </c>
      <c r="N47" s="47"/>
      <c r="O47" s="48"/>
    </row>
    <row r="48" spans="1:15" hidden="1" x14ac:dyDescent="0.25">
      <c r="A48" s="21">
        <v>46154</v>
      </c>
      <c r="B48" s="13"/>
      <c r="C48" s="22">
        <v>0</v>
      </c>
      <c r="D48" s="23">
        <v>36</v>
      </c>
      <c r="E48" s="24">
        <f t="shared" si="12"/>
        <v>36</v>
      </c>
      <c r="F48" s="45"/>
      <c r="G48" s="22">
        <v>69</v>
      </c>
      <c r="H48" s="23">
        <v>75</v>
      </c>
      <c r="I48" s="24">
        <f t="shared" si="13"/>
        <v>6</v>
      </c>
      <c r="J48" s="17"/>
      <c r="K48" s="22">
        <v>78</v>
      </c>
      <c r="L48" s="23">
        <v>78</v>
      </c>
      <c r="M48" s="25">
        <f t="shared" ref="M48:M52" si="14">E48-K48</f>
        <v>-42</v>
      </c>
      <c r="N48" s="49"/>
      <c r="O48" s="50"/>
    </row>
    <row r="49" spans="1:15" hidden="1" x14ac:dyDescent="0.25">
      <c r="A49" s="21">
        <v>46155</v>
      </c>
      <c r="B49" s="13"/>
      <c r="C49" s="22">
        <v>32</v>
      </c>
      <c r="D49" s="23">
        <v>34</v>
      </c>
      <c r="E49" s="24">
        <f t="shared" si="12"/>
        <v>66</v>
      </c>
      <c r="F49" s="45"/>
      <c r="G49" s="22">
        <v>73</v>
      </c>
      <c r="H49" s="23">
        <v>76</v>
      </c>
      <c r="I49" s="24">
        <f t="shared" si="13"/>
        <v>3</v>
      </c>
      <c r="J49" s="17"/>
      <c r="K49" s="22">
        <v>76</v>
      </c>
      <c r="L49" s="23">
        <v>78</v>
      </c>
      <c r="M49" s="25">
        <f t="shared" si="14"/>
        <v>-10</v>
      </c>
      <c r="N49" s="49"/>
      <c r="O49" s="50"/>
    </row>
    <row r="50" spans="1:15" hidden="1" x14ac:dyDescent="0.25">
      <c r="A50" s="21">
        <v>46156</v>
      </c>
      <c r="B50" s="13"/>
      <c r="C50" s="22">
        <f>6+20</f>
        <v>26</v>
      </c>
      <c r="D50" s="23">
        <v>32</v>
      </c>
      <c r="E50" s="24">
        <f t="shared" si="12"/>
        <v>58</v>
      </c>
      <c r="F50" s="45"/>
      <c r="G50" s="22">
        <v>81</v>
      </c>
      <c r="H50" s="23">
        <v>85</v>
      </c>
      <c r="I50" s="24">
        <f t="shared" si="13"/>
        <v>4</v>
      </c>
      <c r="J50" s="17"/>
      <c r="K50" s="22">
        <v>77</v>
      </c>
      <c r="L50" s="23">
        <f>43+39</f>
        <v>82</v>
      </c>
      <c r="M50" s="25">
        <f t="shared" si="14"/>
        <v>-19</v>
      </c>
      <c r="N50" s="49"/>
      <c r="O50" s="51"/>
    </row>
    <row r="51" spans="1:15" hidden="1" x14ac:dyDescent="0.25">
      <c r="A51" s="21">
        <v>46157</v>
      </c>
      <c r="B51" s="13"/>
      <c r="C51" s="22">
        <f>34+36</f>
        <v>70</v>
      </c>
      <c r="D51" s="23">
        <v>35</v>
      </c>
      <c r="E51" s="24">
        <f t="shared" si="12"/>
        <v>105</v>
      </c>
      <c r="F51" s="45"/>
      <c r="G51" s="22">
        <v>92</v>
      </c>
      <c r="H51" s="23">
        <v>100</v>
      </c>
      <c r="I51" s="24">
        <f t="shared" si="13"/>
        <v>8</v>
      </c>
      <c r="J51" s="17"/>
      <c r="K51" s="22">
        <v>89</v>
      </c>
      <c r="L51" s="23">
        <v>100</v>
      </c>
      <c r="M51" s="25">
        <f t="shared" si="14"/>
        <v>16</v>
      </c>
      <c r="N51" s="49"/>
      <c r="O51" s="52"/>
    </row>
    <row r="52" spans="1:15" ht="15.75" hidden="1" thickBot="1" x14ac:dyDescent="0.3">
      <c r="A52" s="31">
        <v>46158</v>
      </c>
      <c r="B52" s="13"/>
      <c r="C52" s="32">
        <v>0</v>
      </c>
      <c r="D52" s="33">
        <v>20</v>
      </c>
      <c r="E52" s="34">
        <f t="shared" si="12"/>
        <v>20</v>
      </c>
      <c r="F52" s="45"/>
      <c r="G52" s="32">
        <v>0</v>
      </c>
      <c r="H52" s="33">
        <v>0</v>
      </c>
      <c r="I52" s="34">
        <f t="shared" si="13"/>
        <v>0</v>
      </c>
      <c r="J52" s="17"/>
      <c r="K52" s="32">
        <v>0</v>
      </c>
      <c r="L52" s="33">
        <v>0</v>
      </c>
      <c r="M52" s="35">
        <f t="shared" si="14"/>
        <v>20</v>
      </c>
      <c r="N52" s="37"/>
      <c r="O52" s="53"/>
    </row>
    <row r="53" spans="1:15" hidden="1" x14ac:dyDescent="0.25">
      <c r="A53" s="38" t="s">
        <v>22</v>
      </c>
      <c r="B53" s="39" t="s">
        <v>13</v>
      </c>
      <c r="C53" s="54">
        <f>SUM(C47:C52)</f>
        <v>158</v>
      </c>
      <c r="D53" s="54">
        <f>SUM(D47:D52)</f>
        <v>191</v>
      </c>
      <c r="E53" s="54">
        <f>SUM(C53:D53)</f>
        <v>349</v>
      </c>
      <c r="F53" s="45"/>
      <c r="G53" s="54">
        <f>SUM(G47:G52)</f>
        <v>390</v>
      </c>
      <c r="H53" s="54">
        <f>SUM(H47:H52)</f>
        <v>416</v>
      </c>
      <c r="I53" s="54">
        <f>H53-G53</f>
        <v>26</v>
      </c>
      <c r="J53" s="17"/>
      <c r="K53" s="54">
        <f>SUM(K47:K52)</f>
        <v>392</v>
      </c>
      <c r="L53" s="54">
        <f>SUM(L47:L52)</f>
        <v>416</v>
      </c>
      <c r="M53" s="55">
        <f>SUM(M47:M52)</f>
        <v>-43</v>
      </c>
      <c r="N53" s="54">
        <f>H53-L53</f>
        <v>0</v>
      </c>
      <c r="O53" s="13"/>
    </row>
    <row r="54" spans="1:15" hidden="1" x14ac:dyDescent="0.25">
      <c r="A54" s="38" t="s">
        <v>22</v>
      </c>
      <c r="B54" s="39" t="s">
        <v>13</v>
      </c>
      <c r="C54" s="56">
        <f>SUM(C47:C52)</f>
        <v>158</v>
      </c>
      <c r="D54" s="57">
        <f>SUM(D47:D52)</f>
        <v>191</v>
      </c>
      <c r="E54" s="57">
        <f>SUM(C54:D54)+O46</f>
        <v>597</v>
      </c>
      <c r="F54" s="58"/>
      <c r="G54" s="56">
        <f>SUM(G47:G52)</f>
        <v>390</v>
      </c>
      <c r="H54" s="57">
        <f>SUM(H47:H52)</f>
        <v>416</v>
      </c>
      <c r="I54" s="57">
        <f>+H54-G54</f>
        <v>26</v>
      </c>
      <c r="J54" s="58" t="s">
        <v>14</v>
      </c>
      <c r="K54" s="56">
        <f>SUM(K47:K52)</f>
        <v>392</v>
      </c>
      <c r="L54" s="57">
        <f>SUM(L47:L52)</f>
        <v>416</v>
      </c>
      <c r="M54" s="59">
        <f>SUM(M47:M52)</f>
        <v>-43</v>
      </c>
      <c r="N54" s="57"/>
      <c r="O54" s="60">
        <f>E54-K54</f>
        <v>205</v>
      </c>
    </row>
    <row r="55" spans="1:15" hidden="1" x14ac:dyDescent="0.25">
      <c r="A55" s="12">
        <v>46160</v>
      </c>
      <c r="B55" s="13"/>
      <c r="C55" s="14">
        <f>31+33</f>
        <v>64</v>
      </c>
      <c r="D55" s="15">
        <v>0</v>
      </c>
      <c r="E55" s="16">
        <f t="shared" ref="E55:E60" si="15">C55+D55</f>
        <v>64</v>
      </c>
      <c r="F55" s="45"/>
      <c r="G55" s="14">
        <v>62</v>
      </c>
      <c r="H55" s="15">
        <v>70</v>
      </c>
      <c r="I55" s="16">
        <f t="shared" ref="I55:I60" si="16">H55-G55</f>
        <v>8</v>
      </c>
      <c r="J55" s="17"/>
      <c r="K55" s="14">
        <v>39</v>
      </c>
      <c r="L55" s="15">
        <v>37</v>
      </c>
      <c r="M55" s="16">
        <f t="shared" ref="M55:M60" si="17">E55-K55</f>
        <v>25</v>
      </c>
      <c r="N55" s="48"/>
      <c r="O55" s="48"/>
    </row>
    <row r="56" spans="1:15" hidden="1" x14ac:dyDescent="0.25">
      <c r="A56" s="21">
        <v>46161</v>
      </c>
      <c r="B56" s="13"/>
      <c r="C56" s="22">
        <v>0</v>
      </c>
      <c r="D56" s="23">
        <f>34+38</f>
        <v>72</v>
      </c>
      <c r="E56" s="24">
        <f t="shared" si="15"/>
        <v>72</v>
      </c>
      <c r="F56" s="45"/>
      <c r="G56" s="22">
        <v>98</v>
      </c>
      <c r="H56" s="23">
        <v>107</v>
      </c>
      <c r="I56" s="24">
        <f t="shared" si="16"/>
        <v>9</v>
      </c>
      <c r="J56" s="17"/>
      <c r="K56" s="22">
        <v>74</v>
      </c>
      <c r="L56" s="23">
        <v>83</v>
      </c>
      <c r="M56" s="24">
        <f t="shared" si="17"/>
        <v>-2</v>
      </c>
      <c r="N56" s="50"/>
      <c r="O56" s="50"/>
    </row>
    <row r="57" spans="1:15" hidden="1" x14ac:dyDescent="0.25">
      <c r="A57" s="21">
        <v>46162</v>
      </c>
      <c r="B57" s="13"/>
      <c r="C57" s="22">
        <f>34+32</f>
        <v>66</v>
      </c>
      <c r="D57" s="23">
        <v>33</v>
      </c>
      <c r="E57" s="24">
        <f t="shared" si="15"/>
        <v>99</v>
      </c>
      <c r="F57" s="45"/>
      <c r="G57" s="22">
        <v>91</v>
      </c>
      <c r="H57" s="23">
        <v>97</v>
      </c>
      <c r="I57" s="24">
        <f t="shared" si="16"/>
        <v>6</v>
      </c>
      <c r="J57" s="17"/>
      <c r="K57" s="22">
        <v>82</v>
      </c>
      <c r="L57" s="23">
        <f>42+41</f>
        <v>83</v>
      </c>
      <c r="M57" s="24">
        <f t="shared" si="17"/>
        <v>17</v>
      </c>
      <c r="N57" s="50"/>
      <c r="O57" s="50"/>
    </row>
    <row r="58" spans="1:15" hidden="1" x14ac:dyDescent="0.25">
      <c r="A58" s="21">
        <v>46163</v>
      </c>
      <c r="B58" s="13"/>
      <c r="C58" s="22">
        <v>35</v>
      </c>
      <c r="D58" s="23">
        <v>31</v>
      </c>
      <c r="E58" s="24">
        <f t="shared" si="15"/>
        <v>66</v>
      </c>
      <c r="F58" s="45"/>
      <c r="G58" s="22">
        <v>94</v>
      </c>
      <c r="H58" s="23">
        <v>100</v>
      </c>
      <c r="I58" s="24">
        <f t="shared" si="16"/>
        <v>6</v>
      </c>
      <c r="J58" s="17"/>
      <c r="K58" s="22">
        <v>75</v>
      </c>
      <c r="L58" s="23">
        <v>81</v>
      </c>
      <c r="M58" s="24">
        <f t="shared" si="17"/>
        <v>-9</v>
      </c>
      <c r="N58" s="52"/>
      <c r="O58" s="51"/>
    </row>
    <row r="59" spans="1:15" hidden="1" x14ac:dyDescent="0.25">
      <c r="A59" s="21">
        <v>46164</v>
      </c>
      <c r="B59" s="13"/>
      <c r="C59" s="22">
        <f>31+36</f>
        <v>67</v>
      </c>
      <c r="D59" s="23">
        <v>27</v>
      </c>
      <c r="E59" s="24">
        <f t="shared" si="15"/>
        <v>94</v>
      </c>
      <c r="F59" s="45"/>
      <c r="G59" s="22">
        <v>90</v>
      </c>
      <c r="H59" s="23">
        <v>98</v>
      </c>
      <c r="I59" s="24">
        <f t="shared" si="16"/>
        <v>8</v>
      </c>
      <c r="J59" s="17"/>
      <c r="K59" s="22">
        <v>119</v>
      </c>
      <c r="L59" s="23">
        <f>40+44+41</f>
        <v>125</v>
      </c>
      <c r="M59" s="24">
        <f t="shared" si="17"/>
        <v>-25</v>
      </c>
      <c r="N59" s="52"/>
      <c r="O59" s="52"/>
    </row>
    <row r="60" spans="1:15" ht="15.75" hidden="1" thickBot="1" x14ac:dyDescent="0.3">
      <c r="A60" s="31">
        <v>46165</v>
      </c>
      <c r="B60" s="13"/>
      <c r="C60" s="32">
        <v>0</v>
      </c>
      <c r="D60" s="33">
        <v>3</v>
      </c>
      <c r="E60" s="34">
        <f t="shared" si="15"/>
        <v>3</v>
      </c>
      <c r="F60" s="45"/>
      <c r="G60" s="32">
        <v>0</v>
      </c>
      <c r="H60" s="33">
        <v>0</v>
      </c>
      <c r="I60" s="34">
        <f t="shared" si="16"/>
        <v>0</v>
      </c>
      <c r="J60" s="17"/>
      <c r="K60" s="32">
        <v>0</v>
      </c>
      <c r="L60" s="33">
        <v>0</v>
      </c>
      <c r="M60" s="34">
        <f t="shared" si="17"/>
        <v>3</v>
      </c>
      <c r="N60" s="53"/>
      <c r="O60" s="53"/>
    </row>
    <row r="61" spans="1:15" hidden="1" x14ac:dyDescent="0.25">
      <c r="A61" s="38" t="s">
        <v>23</v>
      </c>
      <c r="B61" s="39" t="s">
        <v>13</v>
      </c>
      <c r="C61" s="61">
        <f>SUM(C55:C60)</f>
        <v>232</v>
      </c>
      <c r="D61" s="61">
        <f>SUM(D55:D60)</f>
        <v>166</v>
      </c>
      <c r="E61" s="61">
        <f>SUM(C61:D61)</f>
        <v>398</v>
      </c>
      <c r="F61" s="45"/>
      <c r="G61" s="61">
        <f>SUM(G55:G60)</f>
        <v>435</v>
      </c>
      <c r="H61" s="61">
        <f>SUM(H55:H60)</f>
        <v>472</v>
      </c>
      <c r="I61" s="61">
        <f>H61-G61</f>
        <v>37</v>
      </c>
      <c r="J61" s="17"/>
      <c r="K61" s="61">
        <f>SUM(K55:K60)</f>
        <v>389</v>
      </c>
      <c r="L61" s="61">
        <f>SUM(L55:L60)</f>
        <v>409</v>
      </c>
      <c r="M61" s="61">
        <f>SUM(M55:M60)</f>
        <v>9</v>
      </c>
      <c r="N61" s="54">
        <f>H61-L61</f>
        <v>63</v>
      </c>
      <c r="O61" s="13"/>
    </row>
    <row r="62" spans="1:15" ht="14.25" hidden="1" customHeight="1" x14ac:dyDescent="0.25">
      <c r="A62" s="38" t="s">
        <v>23</v>
      </c>
      <c r="B62" s="39" t="s">
        <v>13</v>
      </c>
      <c r="C62" s="40">
        <f>SUM(C55:C60)</f>
        <v>232</v>
      </c>
      <c r="D62" s="41">
        <f>SUM(D55:D60)</f>
        <v>166</v>
      </c>
      <c r="E62" s="41">
        <f>SUM(C62:D62)+O54</f>
        <v>603</v>
      </c>
      <c r="F62" s="46" t="s">
        <v>19</v>
      </c>
      <c r="G62" s="40">
        <f>SUM(G55:G60)</f>
        <v>435</v>
      </c>
      <c r="H62" s="41">
        <f>SUM(H55:H60)</f>
        <v>472</v>
      </c>
      <c r="I62" s="42">
        <f>+H62-G62</f>
        <v>37</v>
      </c>
      <c r="J62" s="43" t="s">
        <v>14</v>
      </c>
      <c r="K62" s="40">
        <f>SUM(K55:K60)</f>
        <v>389</v>
      </c>
      <c r="L62" s="41">
        <f>SUM(L55:L60)</f>
        <v>409</v>
      </c>
      <c r="M62" s="41">
        <f>SUM(M55:M60)</f>
        <v>9</v>
      </c>
      <c r="N62" s="41"/>
      <c r="O62" s="44">
        <f>E62-K62</f>
        <v>214</v>
      </c>
    </row>
    <row r="63" spans="1:15" hidden="1" x14ac:dyDescent="0.25">
      <c r="A63" s="12">
        <v>46167</v>
      </c>
      <c r="B63" s="13"/>
      <c r="C63" s="14">
        <v>34</v>
      </c>
      <c r="D63" s="15">
        <v>27</v>
      </c>
      <c r="E63" s="16">
        <f t="shared" ref="E63:E68" si="18">C63+D63</f>
        <v>61</v>
      </c>
      <c r="F63" s="75">
        <v>64</v>
      </c>
      <c r="G63" s="14">
        <v>75</v>
      </c>
      <c r="H63" s="15">
        <v>80</v>
      </c>
      <c r="I63" s="16">
        <f t="shared" ref="I63:I68" si="19">H63-G63</f>
        <v>5</v>
      </c>
      <c r="J63" s="17"/>
      <c r="K63" s="14">
        <v>80</v>
      </c>
      <c r="L63" s="15">
        <f>42+42+1</f>
        <v>85</v>
      </c>
      <c r="M63" s="18">
        <f t="shared" ref="M63:M68" si="20">E63-K63</f>
        <v>-19</v>
      </c>
      <c r="N63" s="19"/>
      <c r="O63" s="20"/>
    </row>
    <row r="64" spans="1:15" hidden="1" x14ac:dyDescent="0.25">
      <c r="A64" s="21">
        <v>46168</v>
      </c>
      <c r="B64" s="13"/>
      <c r="C64" s="22">
        <v>32</v>
      </c>
      <c r="D64" s="23">
        <v>38</v>
      </c>
      <c r="E64" s="24">
        <f t="shared" si="18"/>
        <v>70</v>
      </c>
      <c r="F64" s="76"/>
      <c r="G64" s="22">
        <v>75</v>
      </c>
      <c r="H64" s="23">
        <v>82</v>
      </c>
      <c r="I64" s="24">
        <f t="shared" si="19"/>
        <v>7</v>
      </c>
      <c r="J64" s="17"/>
      <c r="K64" s="22">
        <v>77</v>
      </c>
      <c r="L64" s="23">
        <f>38+42</f>
        <v>80</v>
      </c>
      <c r="M64" s="25">
        <f t="shared" si="20"/>
        <v>-7</v>
      </c>
      <c r="N64" s="26"/>
      <c r="O64" s="27"/>
    </row>
    <row r="65" spans="1:15" hidden="1" x14ac:dyDescent="0.25">
      <c r="A65" s="21">
        <v>46169</v>
      </c>
      <c r="B65" s="13"/>
      <c r="C65" s="22">
        <v>0</v>
      </c>
      <c r="D65" s="23">
        <v>38</v>
      </c>
      <c r="E65" s="24">
        <f t="shared" si="18"/>
        <v>38</v>
      </c>
      <c r="F65" s="76"/>
      <c r="G65" s="22">
        <v>90</v>
      </c>
      <c r="H65" s="23">
        <v>95</v>
      </c>
      <c r="I65" s="24">
        <f t="shared" si="19"/>
        <v>5</v>
      </c>
      <c r="J65" s="17"/>
      <c r="K65" s="22">
        <v>81</v>
      </c>
      <c r="L65" s="23">
        <v>83</v>
      </c>
      <c r="M65" s="25">
        <f t="shared" si="20"/>
        <v>-43</v>
      </c>
      <c r="N65" s="26"/>
      <c r="O65" s="27"/>
    </row>
    <row r="66" spans="1:15" hidden="1" x14ac:dyDescent="0.25">
      <c r="A66" s="21">
        <v>46170</v>
      </c>
      <c r="B66" s="13"/>
      <c r="C66" s="22">
        <v>34</v>
      </c>
      <c r="D66" s="23">
        <f>18+15+26+12</f>
        <v>71</v>
      </c>
      <c r="E66" s="24">
        <f t="shared" si="18"/>
        <v>105</v>
      </c>
      <c r="F66" s="76"/>
      <c r="G66" s="22">
        <v>95</v>
      </c>
      <c r="H66" s="23">
        <v>100</v>
      </c>
      <c r="I66" s="24">
        <f t="shared" si="19"/>
        <v>5</v>
      </c>
      <c r="J66" s="17"/>
      <c r="K66" s="22">
        <v>80</v>
      </c>
      <c r="L66" s="23">
        <f>39+40</f>
        <v>79</v>
      </c>
      <c r="M66" s="25">
        <f t="shared" si="20"/>
        <v>25</v>
      </c>
      <c r="N66" s="28"/>
      <c r="O66" s="29"/>
    </row>
    <row r="67" spans="1:15" hidden="1" x14ac:dyDescent="0.25">
      <c r="A67" s="21">
        <v>46171</v>
      </c>
      <c r="B67" s="13"/>
      <c r="C67" s="22">
        <f>36+34</f>
        <v>70</v>
      </c>
      <c r="D67" s="23">
        <f>29+36</f>
        <v>65</v>
      </c>
      <c r="E67" s="24">
        <f t="shared" si="18"/>
        <v>135</v>
      </c>
      <c r="F67" s="76"/>
      <c r="G67" s="22">
        <v>86</v>
      </c>
      <c r="H67" s="23">
        <v>90</v>
      </c>
      <c r="I67" s="24">
        <f t="shared" si="19"/>
        <v>4</v>
      </c>
      <c r="J67" s="17"/>
      <c r="K67" s="22">
        <v>107</v>
      </c>
      <c r="L67" s="23">
        <f>34+40+36</f>
        <v>110</v>
      </c>
      <c r="M67" s="25">
        <f t="shared" si="20"/>
        <v>28</v>
      </c>
      <c r="N67" s="28"/>
      <c r="O67" s="30"/>
    </row>
    <row r="68" spans="1:15" ht="15.75" hidden="1" thickBot="1" x14ac:dyDescent="0.3">
      <c r="A68" s="31">
        <v>46172</v>
      </c>
      <c r="B68" s="13"/>
      <c r="C68" s="32">
        <v>0</v>
      </c>
      <c r="D68" s="33">
        <v>21</v>
      </c>
      <c r="E68" s="34">
        <f t="shared" si="18"/>
        <v>21</v>
      </c>
      <c r="F68" s="79"/>
      <c r="G68" s="32">
        <v>56</v>
      </c>
      <c r="H68" s="33">
        <v>65</v>
      </c>
      <c r="I68" s="34">
        <f t="shared" si="19"/>
        <v>9</v>
      </c>
      <c r="J68" s="17"/>
      <c r="K68" s="32">
        <v>0</v>
      </c>
      <c r="L68" s="33">
        <v>0</v>
      </c>
      <c r="M68" s="35">
        <f t="shared" si="20"/>
        <v>21</v>
      </c>
      <c r="N68" s="36"/>
      <c r="O68" s="37"/>
    </row>
    <row r="69" spans="1:15" hidden="1" x14ac:dyDescent="0.25">
      <c r="A69" s="38" t="s">
        <v>24</v>
      </c>
      <c r="B69" s="39" t="s">
        <v>13</v>
      </c>
      <c r="C69" s="61">
        <f>SUM(C63:C68)</f>
        <v>170</v>
      </c>
      <c r="D69" s="61">
        <f>SUM(D63:D68)</f>
        <v>260</v>
      </c>
      <c r="E69" s="61">
        <f>SUM(C69:D69)</f>
        <v>430</v>
      </c>
      <c r="F69" s="45"/>
      <c r="G69" s="61">
        <f>SUM(G63:G68)</f>
        <v>477</v>
      </c>
      <c r="H69" s="61">
        <f>SUM(H63:H68)</f>
        <v>512</v>
      </c>
      <c r="I69" s="61">
        <f>H69-G69</f>
        <v>35</v>
      </c>
      <c r="J69" s="17"/>
      <c r="K69" s="61">
        <f>SUM(K63:K68)</f>
        <v>425</v>
      </c>
      <c r="L69" s="61">
        <f>SUM(L63:L68)</f>
        <v>437</v>
      </c>
      <c r="M69" s="61">
        <f>SUM(M63:M68)</f>
        <v>5</v>
      </c>
      <c r="N69" s="54">
        <f>H69-L69</f>
        <v>75</v>
      </c>
      <c r="O69" s="13"/>
    </row>
    <row r="70" spans="1:15" hidden="1" x14ac:dyDescent="0.25">
      <c r="A70" s="38" t="s">
        <v>24</v>
      </c>
      <c r="B70" s="39" t="s">
        <v>13</v>
      </c>
      <c r="C70" s="40">
        <f>SUM(C63:C68)</f>
        <v>170</v>
      </c>
      <c r="D70" s="41">
        <f>SUM(D63:D68)</f>
        <v>260</v>
      </c>
      <c r="E70" s="41">
        <f>SUM(C70:D70)+O62+F63</f>
        <v>708</v>
      </c>
      <c r="F70" s="39"/>
      <c r="G70" s="40">
        <f>SUM(G63:G68)</f>
        <v>477</v>
      </c>
      <c r="H70" s="41">
        <f>SUM(H63:H68)</f>
        <v>512</v>
      </c>
      <c r="I70" s="42">
        <f>+H70-G70</f>
        <v>35</v>
      </c>
      <c r="J70" s="43" t="s">
        <v>14</v>
      </c>
      <c r="K70" s="40">
        <f>SUM(K63:K68)</f>
        <v>425</v>
      </c>
      <c r="L70" s="41">
        <f>SUM(L63:L68)</f>
        <v>437</v>
      </c>
      <c r="M70" s="41">
        <f>SUM(M63:M68)</f>
        <v>5</v>
      </c>
      <c r="N70" s="41"/>
      <c r="O70" s="44">
        <f>E70-K70</f>
        <v>283</v>
      </c>
    </row>
    <row r="71" spans="1:15" hidden="1" x14ac:dyDescent="0.25">
      <c r="A71" s="12">
        <v>46174</v>
      </c>
      <c r="B71" s="13"/>
      <c r="C71" s="14">
        <f>33+33</f>
        <v>66</v>
      </c>
      <c r="D71" s="15">
        <v>34</v>
      </c>
      <c r="E71" s="16">
        <f t="shared" ref="E71:E76" si="21">C71+D71</f>
        <v>100</v>
      </c>
      <c r="F71" s="45"/>
      <c r="G71" s="14">
        <v>89</v>
      </c>
      <c r="H71" s="15">
        <v>95</v>
      </c>
      <c r="I71" s="16">
        <f t="shared" ref="I71:I76" si="22">H71-G71</f>
        <v>6</v>
      </c>
      <c r="J71" s="17"/>
      <c r="K71" s="14">
        <v>72</v>
      </c>
      <c r="L71" s="15">
        <f>42+39</f>
        <v>81</v>
      </c>
      <c r="M71" s="18">
        <f t="shared" ref="M71:M76" si="23">E71-K71</f>
        <v>28</v>
      </c>
      <c r="N71" s="19"/>
      <c r="O71" s="20"/>
    </row>
    <row r="72" spans="1:15" hidden="1" x14ac:dyDescent="0.25">
      <c r="A72" s="21">
        <v>46175</v>
      </c>
      <c r="B72" s="13"/>
      <c r="C72" s="22">
        <f>33</f>
        <v>33</v>
      </c>
      <c r="D72" s="23">
        <v>37</v>
      </c>
      <c r="E72" s="24">
        <f t="shared" si="21"/>
        <v>70</v>
      </c>
      <c r="F72" s="45"/>
      <c r="G72" s="22">
        <v>74</v>
      </c>
      <c r="H72" s="23">
        <v>80</v>
      </c>
      <c r="I72" s="24">
        <f t="shared" si="22"/>
        <v>6</v>
      </c>
      <c r="J72" s="17"/>
      <c r="K72" s="22">
        <v>70</v>
      </c>
      <c r="L72" s="23">
        <v>78</v>
      </c>
      <c r="M72" s="25">
        <f t="shared" si="23"/>
        <v>0</v>
      </c>
      <c r="N72" s="26"/>
      <c r="O72" s="27"/>
    </row>
    <row r="73" spans="1:15" hidden="1" x14ac:dyDescent="0.25">
      <c r="A73" s="21">
        <v>46176</v>
      </c>
      <c r="B73" s="13"/>
      <c r="C73" s="22">
        <f>32+20</f>
        <v>52</v>
      </c>
      <c r="D73" s="23">
        <v>37</v>
      </c>
      <c r="E73" s="24">
        <f t="shared" si="21"/>
        <v>89</v>
      </c>
      <c r="F73" s="45"/>
      <c r="G73" s="22">
        <v>95</v>
      </c>
      <c r="H73" s="23">
        <v>100</v>
      </c>
      <c r="I73" s="24">
        <f t="shared" si="22"/>
        <v>5</v>
      </c>
      <c r="J73" s="17"/>
      <c r="K73" s="22">
        <v>115</v>
      </c>
      <c r="L73" s="23">
        <f>33+43+46</f>
        <v>122</v>
      </c>
      <c r="M73" s="25">
        <f t="shared" si="23"/>
        <v>-26</v>
      </c>
      <c r="N73" s="26"/>
      <c r="O73" s="27"/>
    </row>
    <row r="74" spans="1:15" hidden="1" x14ac:dyDescent="0.25">
      <c r="A74" s="21">
        <v>46177</v>
      </c>
      <c r="B74" s="13"/>
      <c r="C74" s="22">
        <v>0</v>
      </c>
      <c r="D74" s="23">
        <v>35</v>
      </c>
      <c r="E74" s="24">
        <f t="shared" si="21"/>
        <v>35</v>
      </c>
      <c r="F74" s="45"/>
      <c r="G74" s="22">
        <v>74</v>
      </c>
      <c r="H74" s="23">
        <v>80</v>
      </c>
      <c r="I74" s="24">
        <f t="shared" si="22"/>
        <v>6</v>
      </c>
      <c r="J74" s="17"/>
      <c r="K74" s="22">
        <v>72</v>
      </c>
      <c r="L74" s="23">
        <v>77</v>
      </c>
      <c r="M74" s="25">
        <f t="shared" si="23"/>
        <v>-37</v>
      </c>
      <c r="N74" s="28"/>
      <c r="O74" s="29"/>
    </row>
    <row r="75" spans="1:15" hidden="1" x14ac:dyDescent="0.25">
      <c r="A75" s="21">
        <v>46178</v>
      </c>
      <c r="B75" s="13"/>
      <c r="C75" s="22">
        <f>33+4</f>
        <v>37</v>
      </c>
      <c r="D75" s="23">
        <v>15</v>
      </c>
      <c r="E75" s="24">
        <f t="shared" si="21"/>
        <v>52</v>
      </c>
      <c r="F75" s="45"/>
      <c r="G75" s="22">
        <v>66</v>
      </c>
      <c r="H75" s="23">
        <v>70</v>
      </c>
      <c r="I75" s="24">
        <f t="shared" si="22"/>
        <v>4</v>
      </c>
      <c r="J75" s="17"/>
      <c r="K75" s="22">
        <v>110</v>
      </c>
      <c r="L75" s="23">
        <v>120</v>
      </c>
      <c r="M75" s="25">
        <f t="shared" si="23"/>
        <v>-58</v>
      </c>
      <c r="N75" s="28"/>
      <c r="O75" s="30"/>
    </row>
    <row r="76" spans="1:15" ht="15.75" hidden="1" thickBot="1" x14ac:dyDescent="0.3">
      <c r="A76" s="31">
        <v>46179</v>
      </c>
      <c r="B76" s="13"/>
      <c r="C76" s="32">
        <v>0</v>
      </c>
      <c r="D76" s="33">
        <v>34</v>
      </c>
      <c r="E76" s="34">
        <f t="shared" si="21"/>
        <v>34</v>
      </c>
      <c r="F76" s="45"/>
      <c r="G76" s="32">
        <v>0</v>
      </c>
      <c r="H76" s="33">
        <v>0</v>
      </c>
      <c r="I76" s="34">
        <f t="shared" si="22"/>
        <v>0</v>
      </c>
      <c r="J76" s="17"/>
      <c r="K76" s="32">
        <v>0</v>
      </c>
      <c r="L76" s="33">
        <v>0</v>
      </c>
      <c r="M76" s="35">
        <f t="shared" si="23"/>
        <v>34</v>
      </c>
      <c r="N76" s="36"/>
      <c r="O76" s="37"/>
    </row>
    <row r="77" spans="1:15" hidden="1" x14ac:dyDescent="0.25">
      <c r="A77" s="38" t="s">
        <v>25</v>
      </c>
      <c r="B77" s="39" t="s">
        <v>13</v>
      </c>
      <c r="C77" s="61">
        <f>SUM(C71:C76)</f>
        <v>188</v>
      </c>
      <c r="D77" s="61">
        <f>SUM(D71:D76)</f>
        <v>192</v>
      </c>
      <c r="E77" s="61">
        <f>SUM(C77:D77)</f>
        <v>380</v>
      </c>
      <c r="F77" s="45"/>
      <c r="G77" s="61">
        <f>SUM(G71:G76)</f>
        <v>398</v>
      </c>
      <c r="H77" s="61">
        <f>SUM(H71:H76)</f>
        <v>425</v>
      </c>
      <c r="I77" s="61">
        <f>H77-G77</f>
        <v>27</v>
      </c>
      <c r="J77" s="17"/>
      <c r="K77" s="61">
        <f>SUM(K71:K76)</f>
        <v>439</v>
      </c>
      <c r="L77" s="61">
        <f>SUM(L71:L76)</f>
        <v>478</v>
      </c>
      <c r="M77" s="61">
        <f>SUM(M71:M76)</f>
        <v>-59</v>
      </c>
      <c r="N77" s="54">
        <f>H77-L77</f>
        <v>-53</v>
      </c>
      <c r="O77" s="13"/>
    </row>
    <row r="78" spans="1:15" hidden="1" x14ac:dyDescent="0.25">
      <c r="A78" s="38" t="s">
        <v>25</v>
      </c>
      <c r="B78" s="39" t="s">
        <v>13</v>
      </c>
      <c r="C78" s="40">
        <f>SUM(C71:C76)</f>
        <v>188</v>
      </c>
      <c r="D78" s="41">
        <f>SUM(D71:D76)</f>
        <v>192</v>
      </c>
      <c r="E78" s="41">
        <f>SUM(C78:D78)+O70</f>
        <v>663</v>
      </c>
      <c r="F78" s="39"/>
      <c r="G78" s="40">
        <f>SUM(G71:G76)</f>
        <v>398</v>
      </c>
      <c r="H78" s="41">
        <f>SUM(H71:H76)</f>
        <v>425</v>
      </c>
      <c r="I78" s="42">
        <f>+H78-G78</f>
        <v>27</v>
      </c>
      <c r="J78" s="43" t="s">
        <v>14</v>
      </c>
      <c r="K78" s="40">
        <f>SUM(K71:K76)</f>
        <v>439</v>
      </c>
      <c r="L78" s="41">
        <f>SUM(L71:L76)</f>
        <v>478</v>
      </c>
      <c r="M78" s="41">
        <f>SUM(M71:M76)</f>
        <v>-59</v>
      </c>
      <c r="N78" s="41"/>
      <c r="O78" s="44">
        <f>E78-K78</f>
        <v>224</v>
      </c>
    </row>
    <row r="79" spans="1:15" hidden="1" x14ac:dyDescent="0.25">
      <c r="A79" s="12">
        <v>46181</v>
      </c>
      <c r="B79" s="13"/>
      <c r="C79" s="14">
        <f>35+37</f>
        <v>72</v>
      </c>
      <c r="D79" s="15">
        <v>5</v>
      </c>
      <c r="E79" s="16">
        <f t="shared" ref="E79:E84" si="24">C79+D79</f>
        <v>77</v>
      </c>
      <c r="F79" s="45"/>
      <c r="G79" s="14">
        <v>92</v>
      </c>
      <c r="H79" s="15">
        <v>100</v>
      </c>
      <c r="I79" s="16">
        <f t="shared" ref="I79:I84" si="25">H79-G79</f>
        <v>8</v>
      </c>
      <c r="J79" s="17"/>
      <c r="K79" s="14">
        <v>93</v>
      </c>
      <c r="L79" s="15">
        <v>104</v>
      </c>
      <c r="M79" s="18">
        <f t="shared" ref="M79:M84" si="26">E79-K79</f>
        <v>-16</v>
      </c>
      <c r="N79" s="19"/>
      <c r="O79" s="20"/>
    </row>
    <row r="80" spans="1:15" hidden="1" x14ac:dyDescent="0.25">
      <c r="A80" s="21">
        <v>46182</v>
      </c>
      <c r="B80" s="13"/>
      <c r="C80" s="22">
        <v>0</v>
      </c>
      <c r="D80" s="23">
        <f>29+34</f>
        <v>63</v>
      </c>
      <c r="E80" s="24">
        <f t="shared" si="24"/>
        <v>63</v>
      </c>
      <c r="F80" s="45"/>
      <c r="G80" s="22">
        <v>92</v>
      </c>
      <c r="H80" s="23">
        <v>100</v>
      </c>
      <c r="I80" s="24">
        <f t="shared" si="25"/>
        <v>8</v>
      </c>
      <c r="J80" s="17"/>
      <c r="K80" s="22">
        <v>85</v>
      </c>
      <c r="L80" s="23">
        <v>85</v>
      </c>
      <c r="M80" s="25">
        <f t="shared" si="26"/>
        <v>-22</v>
      </c>
      <c r="N80" s="26"/>
      <c r="O80" s="27"/>
    </row>
    <row r="81" spans="1:15" hidden="1" x14ac:dyDescent="0.25">
      <c r="A81" s="21">
        <v>46183</v>
      </c>
      <c r="B81" s="13"/>
      <c r="C81" s="22">
        <f>35+33</f>
        <v>68</v>
      </c>
      <c r="D81" s="23">
        <v>37</v>
      </c>
      <c r="E81" s="24">
        <f t="shared" si="24"/>
        <v>105</v>
      </c>
      <c r="F81" s="45"/>
      <c r="G81" s="22">
        <v>86</v>
      </c>
      <c r="H81" s="23">
        <v>92</v>
      </c>
      <c r="I81" s="24">
        <f t="shared" si="25"/>
        <v>6</v>
      </c>
      <c r="J81" s="17"/>
      <c r="K81" s="22">
        <v>94</v>
      </c>
      <c r="L81" s="23">
        <v>102</v>
      </c>
      <c r="M81" s="25">
        <f t="shared" si="26"/>
        <v>11</v>
      </c>
      <c r="N81" s="26"/>
      <c r="O81" s="27"/>
    </row>
    <row r="82" spans="1:15" hidden="1" x14ac:dyDescent="0.25">
      <c r="A82" s="21">
        <v>46184</v>
      </c>
      <c r="B82" s="13"/>
      <c r="C82" s="22">
        <v>0</v>
      </c>
      <c r="D82" s="23">
        <f>37+36</f>
        <v>73</v>
      </c>
      <c r="E82" s="24">
        <f t="shared" si="24"/>
        <v>73</v>
      </c>
      <c r="F82" s="45"/>
      <c r="G82" s="22">
        <v>98</v>
      </c>
      <c r="H82" s="23">
        <v>102</v>
      </c>
      <c r="I82" s="24">
        <f t="shared" si="25"/>
        <v>4</v>
      </c>
      <c r="J82" s="17"/>
      <c r="K82" s="22">
        <v>77</v>
      </c>
      <c r="L82" s="23">
        <v>79</v>
      </c>
      <c r="M82" s="25">
        <f t="shared" si="26"/>
        <v>-4</v>
      </c>
      <c r="N82" s="28"/>
      <c r="O82" s="29"/>
    </row>
    <row r="83" spans="1:15" hidden="1" x14ac:dyDescent="0.25">
      <c r="A83" s="21">
        <v>46185</v>
      </c>
      <c r="B83" s="13"/>
      <c r="C83" s="22">
        <v>33</v>
      </c>
      <c r="D83" s="23">
        <f>35+36</f>
        <v>71</v>
      </c>
      <c r="E83" s="24">
        <f t="shared" si="24"/>
        <v>104</v>
      </c>
      <c r="F83" s="45"/>
      <c r="G83" s="22">
        <v>91</v>
      </c>
      <c r="H83" s="23">
        <v>95</v>
      </c>
      <c r="I83" s="24">
        <f t="shared" si="25"/>
        <v>4</v>
      </c>
      <c r="J83" s="17"/>
      <c r="K83" s="22">
        <v>105</v>
      </c>
      <c r="L83" s="23">
        <v>115</v>
      </c>
      <c r="M83" s="25">
        <f t="shared" si="26"/>
        <v>-1</v>
      </c>
      <c r="N83" s="28"/>
      <c r="O83" s="30"/>
    </row>
    <row r="84" spans="1:15" ht="15.75" hidden="1" thickBot="1" x14ac:dyDescent="0.3">
      <c r="A84" s="31">
        <v>46186</v>
      </c>
      <c r="B84" s="13"/>
      <c r="C84" s="32">
        <v>0</v>
      </c>
      <c r="D84" s="33">
        <v>33</v>
      </c>
      <c r="E84" s="34">
        <f t="shared" si="24"/>
        <v>33</v>
      </c>
      <c r="F84" s="45"/>
      <c r="G84" s="32">
        <v>45</v>
      </c>
      <c r="H84" s="33">
        <v>50</v>
      </c>
      <c r="I84" s="34">
        <f t="shared" si="25"/>
        <v>5</v>
      </c>
      <c r="J84" s="17"/>
      <c r="K84" s="32">
        <v>0</v>
      </c>
      <c r="L84" s="33">
        <v>0</v>
      </c>
      <c r="M84" s="35">
        <f t="shared" si="26"/>
        <v>33</v>
      </c>
      <c r="N84" s="36"/>
      <c r="O84" s="37"/>
    </row>
    <row r="85" spans="1:15" hidden="1" x14ac:dyDescent="0.25">
      <c r="A85" s="38" t="s">
        <v>26</v>
      </c>
      <c r="B85" s="39" t="s">
        <v>13</v>
      </c>
      <c r="C85" s="61">
        <f>SUM(C79:C84)</f>
        <v>173</v>
      </c>
      <c r="D85" s="61">
        <f>SUM(D79:D84)</f>
        <v>282</v>
      </c>
      <c r="E85" s="61">
        <f>SUM(C85:D85)</f>
        <v>455</v>
      </c>
      <c r="F85" s="45"/>
      <c r="G85" s="61">
        <f>SUM(G79:G84)</f>
        <v>504</v>
      </c>
      <c r="H85" s="61">
        <f>SUM(H79:H84)</f>
        <v>539</v>
      </c>
      <c r="I85" s="61">
        <f>H85-G85</f>
        <v>35</v>
      </c>
      <c r="J85" s="17"/>
      <c r="K85" s="61">
        <f>SUM(K79:K84)</f>
        <v>454</v>
      </c>
      <c r="L85" s="61">
        <f>SUM(L79:L84)</f>
        <v>485</v>
      </c>
      <c r="M85" s="61">
        <f>SUM(M79:M84)</f>
        <v>1</v>
      </c>
      <c r="N85" s="54">
        <f>H85-L85</f>
        <v>54</v>
      </c>
      <c r="O85" s="13"/>
    </row>
    <row r="86" spans="1:15" ht="45" hidden="1" x14ac:dyDescent="0.25">
      <c r="A86" s="38" t="s">
        <v>26</v>
      </c>
      <c r="B86" s="39" t="s">
        <v>13</v>
      </c>
      <c r="C86" s="40">
        <f>SUM(C79:C84)</f>
        <v>173</v>
      </c>
      <c r="D86" s="41">
        <f>SUM(D79:D84)</f>
        <v>282</v>
      </c>
      <c r="E86" s="41">
        <f>SUM(C86:D86)+O78</f>
        <v>679</v>
      </c>
      <c r="F86" s="39" t="s">
        <v>27</v>
      </c>
      <c r="G86" s="40">
        <f>SUM(G79:G84)</f>
        <v>504</v>
      </c>
      <c r="H86" s="41">
        <f>SUM(H79:H84)</f>
        <v>539</v>
      </c>
      <c r="I86" s="42">
        <f>+H86-G86</f>
        <v>35</v>
      </c>
      <c r="J86" s="43" t="s">
        <v>14</v>
      </c>
      <c r="K86" s="40">
        <f>SUM(K79:K84)</f>
        <v>454</v>
      </c>
      <c r="L86" s="41">
        <f>SUM(L79:L84)</f>
        <v>485</v>
      </c>
      <c r="M86" s="41">
        <f>SUM(M79:M84)</f>
        <v>1</v>
      </c>
      <c r="N86" s="41"/>
      <c r="O86" s="44">
        <f>E86-K86</f>
        <v>225</v>
      </c>
    </row>
    <row r="87" spans="1:15" hidden="1" x14ac:dyDescent="0.25">
      <c r="A87" s="12">
        <v>46188</v>
      </c>
      <c r="B87" s="13"/>
      <c r="C87" s="14">
        <f>34+32</f>
        <v>66</v>
      </c>
      <c r="D87" s="15">
        <v>0</v>
      </c>
      <c r="E87" s="16">
        <f t="shared" ref="E87:E92" si="27">C87+D87</f>
        <v>66</v>
      </c>
      <c r="F87" s="75">
        <v>64</v>
      </c>
      <c r="G87" s="14">
        <v>82</v>
      </c>
      <c r="H87" s="15">
        <v>95</v>
      </c>
      <c r="I87" s="16">
        <f t="shared" ref="I87:I92" si="28">H87-G87</f>
        <v>13</v>
      </c>
      <c r="J87" s="17"/>
      <c r="K87" s="14">
        <v>106</v>
      </c>
      <c r="L87" s="15">
        <v>109</v>
      </c>
      <c r="M87" s="18">
        <f t="shared" ref="M87:M92" si="29">E87-K87</f>
        <v>-40</v>
      </c>
      <c r="N87" s="19"/>
      <c r="O87" s="20"/>
    </row>
    <row r="88" spans="1:15" hidden="1" x14ac:dyDescent="0.25">
      <c r="A88" s="21">
        <v>46189</v>
      </c>
      <c r="B88" s="13"/>
      <c r="C88" s="22">
        <f>33+18+2</f>
        <v>53</v>
      </c>
      <c r="D88" s="23">
        <v>36</v>
      </c>
      <c r="E88" s="24">
        <f t="shared" si="27"/>
        <v>89</v>
      </c>
      <c r="F88" s="76"/>
      <c r="G88" s="22">
        <v>88</v>
      </c>
      <c r="H88" s="23">
        <v>95</v>
      </c>
      <c r="I88" s="24">
        <f t="shared" si="28"/>
        <v>7</v>
      </c>
      <c r="J88" s="17"/>
      <c r="K88" s="22">
        <v>71</v>
      </c>
      <c r="L88" s="23">
        <f>39+41</f>
        <v>80</v>
      </c>
      <c r="M88" s="25">
        <f t="shared" si="29"/>
        <v>18</v>
      </c>
      <c r="N88" s="26"/>
      <c r="O88" s="27"/>
    </row>
    <row r="89" spans="1:15" hidden="1" x14ac:dyDescent="0.25">
      <c r="A89" s="21">
        <v>46190</v>
      </c>
      <c r="B89" s="13"/>
      <c r="C89" s="22">
        <v>33</v>
      </c>
      <c r="D89" s="23">
        <f>34+4</f>
        <v>38</v>
      </c>
      <c r="E89" s="24">
        <f t="shared" si="27"/>
        <v>71</v>
      </c>
      <c r="F89" s="76"/>
      <c r="G89" s="22">
        <v>77</v>
      </c>
      <c r="H89" s="23">
        <v>85</v>
      </c>
      <c r="I89" s="24">
        <f t="shared" si="28"/>
        <v>8</v>
      </c>
      <c r="J89" s="17"/>
      <c r="K89" s="22">
        <v>103</v>
      </c>
      <c r="L89" s="23">
        <v>110</v>
      </c>
      <c r="M89" s="25">
        <f t="shared" si="29"/>
        <v>-32</v>
      </c>
      <c r="N89" s="26"/>
      <c r="O89" s="27"/>
    </row>
    <row r="90" spans="1:15" hidden="1" x14ac:dyDescent="0.25">
      <c r="A90" s="21">
        <v>46191</v>
      </c>
      <c r="B90" s="13"/>
      <c r="C90" s="22">
        <v>25</v>
      </c>
      <c r="D90" s="23">
        <v>34</v>
      </c>
      <c r="E90" s="24">
        <f t="shared" si="27"/>
        <v>59</v>
      </c>
      <c r="F90" s="76"/>
      <c r="G90" s="22">
        <v>50</v>
      </c>
      <c r="H90" s="23">
        <v>55</v>
      </c>
      <c r="I90" s="24">
        <f t="shared" si="28"/>
        <v>5</v>
      </c>
      <c r="J90" s="17"/>
      <c r="K90" s="22">
        <v>36</v>
      </c>
      <c r="L90" s="23">
        <v>41</v>
      </c>
      <c r="M90" s="25">
        <f t="shared" si="29"/>
        <v>23</v>
      </c>
      <c r="N90" s="28"/>
      <c r="O90" s="29"/>
    </row>
    <row r="91" spans="1:15" hidden="1" x14ac:dyDescent="0.25">
      <c r="A91" s="21">
        <v>46192</v>
      </c>
      <c r="B91" s="13"/>
      <c r="C91" s="22">
        <v>30</v>
      </c>
      <c r="D91" s="23">
        <v>0</v>
      </c>
      <c r="E91" s="24">
        <f t="shared" si="27"/>
        <v>30</v>
      </c>
      <c r="F91" s="76"/>
      <c r="G91" s="22">
        <v>0</v>
      </c>
      <c r="H91" s="23">
        <v>0</v>
      </c>
      <c r="I91" s="24">
        <f t="shared" si="28"/>
        <v>0</v>
      </c>
      <c r="J91" s="17"/>
      <c r="K91" s="22">
        <v>0</v>
      </c>
      <c r="L91" s="23">
        <v>0</v>
      </c>
      <c r="M91" s="25">
        <f t="shared" si="29"/>
        <v>30</v>
      </c>
      <c r="N91" s="28"/>
      <c r="O91" s="30"/>
    </row>
    <row r="92" spans="1:15" ht="15.75" hidden="1" thickBot="1" x14ac:dyDescent="0.3">
      <c r="A92" s="31">
        <v>46193</v>
      </c>
      <c r="B92" s="13"/>
      <c r="C92" s="62">
        <v>0</v>
      </c>
      <c r="D92" s="57">
        <v>0</v>
      </c>
      <c r="E92" s="63">
        <f t="shared" si="27"/>
        <v>0</v>
      </c>
      <c r="F92" s="76"/>
      <c r="G92" s="62">
        <v>0</v>
      </c>
      <c r="H92" s="57">
        <v>0</v>
      </c>
      <c r="I92" s="63">
        <f t="shared" si="28"/>
        <v>0</v>
      </c>
      <c r="J92" s="17"/>
      <c r="K92" s="62">
        <v>0</v>
      </c>
      <c r="L92" s="57">
        <v>0</v>
      </c>
      <c r="M92" s="59">
        <f t="shared" si="29"/>
        <v>0</v>
      </c>
      <c r="N92" s="13"/>
      <c r="O92" s="49"/>
    </row>
    <row r="93" spans="1:15" hidden="1" x14ac:dyDescent="0.25">
      <c r="A93" s="38" t="s">
        <v>28</v>
      </c>
      <c r="B93" s="39" t="s">
        <v>13</v>
      </c>
      <c r="C93" s="61">
        <f>SUM(C87:C92)</f>
        <v>207</v>
      </c>
      <c r="D93" s="61">
        <f>SUM(D87:D92)</f>
        <v>108</v>
      </c>
      <c r="E93" s="61">
        <f>SUM(C93:D93)</f>
        <v>315</v>
      </c>
      <c r="F93" s="45"/>
      <c r="G93" s="61">
        <f>SUM(G87:G92)</f>
        <v>297</v>
      </c>
      <c r="H93" s="61">
        <f>SUM(H87:H92)</f>
        <v>330</v>
      </c>
      <c r="I93" s="61">
        <f>H93-G93</f>
        <v>33</v>
      </c>
      <c r="J93" s="17"/>
      <c r="K93" s="61">
        <f>SUM(K87:K92)</f>
        <v>316</v>
      </c>
      <c r="L93" s="61">
        <f>SUM(L87:L92)</f>
        <v>340</v>
      </c>
      <c r="M93" s="61">
        <f>SUM(M87:M92)</f>
        <v>-1</v>
      </c>
      <c r="N93" s="54">
        <f>H93-L93</f>
        <v>-10</v>
      </c>
      <c r="O93" s="13"/>
    </row>
    <row r="94" spans="1:15" hidden="1" x14ac:dyDescent="0.25">
      <c r="A94" s="64" t="s">
        <v>28</v>
      </c>
      <c r="B94" s="39" t="s">
        <v>13</v>
      </c>
      <c r="C94" s="65">
        <f>SUM(C87:C92)</f>
        <v>207</v>
      </c>
      <c r="D94" s="23">
        <f>SUM(D87:D92)</f>
        <v>108</v>
      </c>
      <c r="E94" s="23">
        <f>SUM(C94:D94)+O86+F87</f>
        <v>604</v>
      </c>
      <c r="F94" s="39"/>
      <c r="G94" s="65">
        <f>SUM(G87:G92)</f>
        <v>297</v>
      </c>
      <c r="H94" s="23">
        <f>SUM(H87:H92)</f>
        <v>330</v>
      </c>
      <c r="I94" s="23">
        <f>+H94-G94</f>
        <v>33</v>
      </c>
      <c r="J94" s="39" t="s">
        <v>14</v>
      </c>
      <c r="K94" s="65">
        <f>SUM(K87:K92)</f>
        <v>316</v>
      </c>
      <c r="L94" s="23">
        <f>SUM(L87:L92)</f>
        <v>340</v>
      </c>
      <c r="M94" s="23">
        <f>SUM(M87:M92)</f>
        <v>-1</v>
      </c>
      <c r="N94" s="23"/>
      <c r="O94" s="66">
        <f>E94-K94</f>
        <v>288</v>
      </c>
    </row>
    <row r="95" spans="1:15" hidden="1" x14ac:dyDescent="0.25">
      <c r="A95" s="12">
        <v>46195</v>
      </c>
      <c r="B95" s="13"/>
      <c r="C95" s="14">
        <f>35+34</f>
        <v>69</v>
      </c>
      <c r="D95" s="15">
        <v>0</v>
      </c>
      <c r="E95" s="16">
        <f t="shared" ref="E95:E100" si="30">C95+D95</f>
        <v>69</v>
      </c>
      <c r="F95" s="73"/>
      <c r="G95" s="14">
        <v>83</v>
      </c>
      <c r="H95" s="15">
        <v>86</v>
      </c>
      <c r="I95" s="16">
        <f t="shared" ref="I95:I100" si="31">H95-G95</f>
        <v>3</v>
      </c>
      <c r="J95" s="17"/>
      <c r="K95" s="14">
        <f>37+39</f>
        <v>76</v>
      </c>
      <c r="L95" s="15">
        <f>38+40</f>
        <v>78</v>
      </c>
      <c r="M95" s="18">
        <f t="shared" ref="M95:M100" si="32">E95-K95</f>
        <v>-7</v>
      </c>
      <c r="N95" s="19"/>
      <c r="O95" s="20"/>
    </row>
    <row r="96" spans="1:15" hidden="1" x14ac:dyDescent="0.25">
      <c r="A96" s="21">
        <v>46196</v>
      </c>
      <c r="B96" s="13"/>
      <c r="C96" s="22">
        <v>35</v>
      </c>
      <c r="D96" s="23">
        <v>30</v>
      </c>
      <c r="E96" s="24">
        <f t="shared" si="30"/>
        <v>65</v>
      </c>
      <c r="F96" s="74"/>
      <c r="G96" s="22">
        <v>72</v>
      </c>
      <c r="H96" s="23">
        <v>75</v>
      </c>
      <c r="I96" s="24">
        <f t="shared" si="31"/>
        <v>3</v>
      </c>
      <c r="J96" s="17"/>
      <c r="K96" s="22">
        <v>81</v>
      </c>
      <c r="L96" s="23">
        <f>42+39</f>
        <v>81</v>
      </c>
      <c r="M96" s="25">
        <f t="shared" si="32"/>
        <v>-16</v>
      </c>
      <c r="N96" s="26"/>
      <c r="O96" s="27"/>
    </row>
    <row r="97" spans="1:15" hidden="1" x14ac:dyDescent="0.25">
      <c r="A97" s="21">
        <v>46197</v>
      </c>
      <c r="B97" s="13"/>
      <c r="C97" s="22">
        <f>33+35</f>
        <v>68</v>
      </c>
      <c r="D97" s="23">
        <f>35+2</f>
        <v>37</v>
      </c>
      <c r="E97" s="24">
        <f t="shared" si="30"/>
        <v>105</v>
      </c>
      <c r="F97" s="74"/>
      <c r="G97" s="22">
        <v>81</v>
      </c>
      <c r="H97" s="23">
        <v>92</v>
      </c>
      <c r="I97" s="24">
        <f t="shared" si="31"/>
        <v>11</v>
      </c>
      <c r="J97" s="17"/>
      <c r="K97" s="22">
        <v>73</v>
      </c>
      <c r="L97" s="23">
        <v>82</v>
      </c>
      <c r="M97" s="25">
        <f t="shared" si="32"/>
        <v>32</v>
      </c>
      <c r="N97" s="26"/>
      <c r="O97" s="27"/>
    </row>
    <row r="98" spans="1:15" hidden="1" x14ac:dyDescent="0.25">
      <c r="A98" s="21">
        <v>46198</v>
      </c>
      <c r="B98" s="13"/>
      <c r="C98" s="22">
        <v>31</v>
      </c>
      <c r="D98" s="23">
        <f>23+16</f>
        <v>39</v>
      </c>
      <c r="E98" s="24">
        <f t="shared" si="30"/>
        <v>70</v>
      </c>
      <c r="F98" s="74"/>
      <c r="G98" s="22">
        <v>82</v>
      </c>
      <c r="H98" s="23">
        <v>90</v>
      </c>
      <c r="I98" s="24">
        <f t="shared" si="31"/>
        <v>8</v>
      </c>
      <c r="J98" s="17"/>
      <c r="K98" s="22">
        <v>65</v>
      </c>
      <c r="L98" s="23">
        <v>75</v>
      </c>
      <c r="M98" s="25">
        <f t="shared" si="32"/>
        <v>5</v>
      </c>
      <c r="N98" s="28"/>
      <c r="O98" s="29"/>
    </row>
    <row r="99" spans="1:15" hidden="1" x14ac:dyDescent="0.25">
      <c r="A99" s="21">
        <v>46199</v>
      </c>
      <c r="B99" s="13"/>
      <c r="C99" s="22">
        <v>17</v>
      </c>
      <c r="D99" s="23">
        <f>38+38</f>
        <v>76</v>
      </c>
      <c r="E99" s="24">
        <f t="shared" si="30"/>
        <v>93</v>
      </c>
      <c r="F99" s="74"/>
      <c r="G99" s="22">
        <v>77</v>
      </c>
      <c r="H99" s="23">
        <v>80</v>
      </c>
      <c r="I99" s="24">
        <f t="shared" si="31"/>
        <v>3</v>
      </c>
      <c r="J99" s="17"/>
      <c r="K99" s="22">
        <v>110</v>
      </c>
      <c r="L99" s="23">
        <v>115</v>
      </c>
      <c r="M99" s="25">
        <f t="shared" si="32"/>
        <v>-17</v>
      </c>
      <c r="N99" s="28"/>
      <c r="O99" s="30"/>
    </row>
    <row r="100" spans="1:15" ht="15.75" hidden="1" thickBot="1" x14ac:dyDescent="0.3">
      <c r="A100" s="31">
        <v>46200</v>
      </c>
      <c r="B100" s="13"/>
      <c r="C100" s="62">
        <v>0</v>
      </c>
      <c r="D100" s="57">
        <v>36</v>
      </c>
      <c r="E100" s="63">
        <f t="shared" si="30"/>
        <v>36</v>
      </c>
      <c r="F100" s="74"/>
      <c r="G100" s="62">
        <v>0</v>
      </c>
      <c r="H100" s="57">
        <v>0</v>
      </c>
      <c r="I100" s="63">
        <f t="shared" si="31"/>
        <v>0</v>
      </c>
      <c r="J100" s="17"/>
      <c r="K100" s="62">
        <v>0</v>
      </c>
      <c r="L100" s="57">
        <v>0</v>
      </c>
      <c r="M100" s="59">
        <f t="shared" si="32"/>
        <v>36</v>
      </c>
      <c r="N100" s="13"/>
      <c r="O100" s="49"/>
    </row>
    <row r="101" spans="1:15" hidden="1" x14ac:dyDescent="0.25">
      <c r="A101" s="38" t="s">
        <v>29</v>
      </c>
      <c r="B101" s="39" t="s">
        <v>13</v>
      </c>
      <c r="C101" s="61">
        <f>SUM(C95:C100)</f>
        <v>220</v>
      </c>
      <c r="D101" s="61">
        <f>SUM(D95:D100)</f>
        <v>218</v>
      </c>
      <c r="E101" s="61">
        <f>SUM(C101:D101)</f>
        <v>438</v>
      </c>
      <c r="F101" s="45"/>
      <c r="G101" s="61">
        <f>SUM(G95:G100)</f>
        <v>395</v>
      </c>
      <c r="H101" s="61">
        <f>SUM(H95:H100)</f>
        <v>423</v>
      </c>
      <c r="I101" s="61">
        <f>H101-G101</f>
        <v>28</v>
      </c>
      <c r="J101" s="17"/>
      <c r="K101" s="61">
        <f>SUM(K95:K100)</f>
        <v>405</v>
      </c>
      <c r="L101" s="61">
        <f>SUM(L95:L100)</f>
        <v>431</v>
      </c>
      <c r="M101" s="61">
        <f>SUM(M95:M100)</f>
        <v>33</v>
      </c>
      <c r="N101" s="54">
        <f>H101-L101</f>
        <v>-8</v>
      </c>
      <c r="O101" s="13"/>
    </row>
    <row r="102" spans="1:15" hidden="1" x14ac:dyDescent="0.25">
      <c r="A102" s="64" t="s">
        <v>29</v>
      </c>
      <c r="B102" s="39" t="s">
        <v>13</v>
      </c>
      <c r="C102" s="65">
        <f>SUM(C95:C100)</f>
        <v>220</v>
      </c>
      <c r="D102" s="23">
        <f>SUM(D95:D100)</f>
        <v>218</v>
      </c>
      <c r="E102" s="23">
        <f>D102+C102+O94</f>
        <v>726</v>
      </c>
      <c r="F102" s="39"/>
      <c r="G102" s="65">
        <f>SUM(G95:G100)</f>
        <v>395</v>
      </c>
      <c r="H102" s="23">
        <f>SUM(H95:H100)</f>
        <v>423</v>
      </c>
      <c r="I102" s="23">
        <f>+H102-G102</f>
        <v>28</v>
      </c>
      <c r="J102" s="39" t="s">
        <v>14</v>
      </c>
      <c r="K102" s="65">
        <f>SUM(K95:K100)</f>
        <v>405</v>
      </c>
      <c r="L102" s="23">
        <f>SUM(L95:L100)</f>
        <v>431</v>
      </c>
      <c r="M102" s="23">
        <f>SUM(M95:M100)</f>
        <v>33</v>
      </c>
      <c r="N102" s="23"/>
      <c r="O102" s="66">
        <f>E102-K102+F95</f>
        <v>321</v>
      </c>
    </row>
    <row r="103" spans="1:15" hidden="1" x14ac:dyDescent="0.25">
      <c r="A103" s="12">
        <v>46202</v>
      </c>
      <c r="B103" s="13"/>
      <c r="C103" s="14">
        <v>70</v>
      </c>
      <c r="D103" s="15">
        <v>0</v>
      </c>
      <c r="E103" s="16">
        <f t="shared" ref="E103:E108" si="33">C103+D103</f>
        <v>70</v>
      </c>
      <c r="F103" s="75">
        <v>67</v>
      </c>
      <c r="G103" s="14">
        <v>93</v>
      </c>
      <c r="H103" s="15">
        <v>96</v>
      </c>
      <c r="I103" s="16">
        <f t="shared" ref="I103:I108" si="34">H103-G103</f>
        <v>3</v>
      </c>
      <c r="J103" s="17"/>
      <c r="K103" s="14">
        <v>81</v>
      </c>
      <c r="L103" s="15">
        <f>38+38+5</f>
        <v>81</v>
      </c>
      <c r="M103" s="18">
        <f t="shared" ref="M103:M108" si="35">E103-K103</f>
        <v>-11</v>
      </c>
      <c r="N103" s="19"/>
      <c r="O103" s="20"/>
    </row>
    <row r="104" spans="1:15" hidden="1" x14ac:dyDescent="0.25">
      <c r="A104" s="21">
        <v>46203</v>
      </c>
      <c r="B104" s="13"/>
      <c r="C104" s="22">
        <v>0</v>
      </c>
      <c r="D104" s="23">
        <v>31</v>
      </c>
      <c r="E104" s="24">
        <f t="shared" si="33"/>
        <v>31</v>
      </c>
      <c r="F104" s="76"/>
      <c r="G104" s="22">
        <v>93</v>
      </c>
      <c r="H104" s="23">
        <v>100</v>
      </c>
      <c r="I104" s="24">
        <f t="shared" si="34"/>
        <v>7</v>
      </c>
      <c r="J104" s="17"/>
      <c r="K104" s="22">
        <v>74</v>
      </c>
      <c r="L104" s="23">
        <v>77</v>
      </c>
      <c r="M104" s="25">
        <f t="shared" si="35"/>
        <v>-43</v>
      </c>
      <c r="N104" s="26"/>
      <c r="O104" s="27"/>
    </row>
    <row r="105" spans="1:15" hidden="1" x14ac:dyDescent="0.25">
      <c r="A105" s="21">
        <v>46204</v>
      </c>
      <c r="B105" s="13"/>
      <c r="C105" s="22">
        <f>34+33</f>
        <v>67</v>
      </c>
      <c r="D105" s="23">
        <f>18+16</f>
        <v>34</v>
      </c>
      <c r="E105" s="24">
        <f t="shared" si="33"/>
        <v>101</v>
      </c>
      <c r="F105" s="76"/>
      <c r="G105" s="22">
        <v>73</v>
      </c>
      <c r="H105" s="23">
        <v>80</v>
      </c>
      <c r="I105" s="24">
        <f t="shared" si="34"/>
        <v>7</v>
      </c>
      <c r="J105" s="17"/>
      <c r="K105" s="22">
        <v>77</v>
      </c>
      <c r="L105" s="23">
        <v>78</v>
      </c>
      <c r="M105" s="25">
        <f t="shared" si="35"/>
        <v>24</v>
      </c>
      <c r="N105" s="26"/>
      <c r="O105" s="27"/>
    </row>
    <row r="106" spans="1:15" hidden="1" x14ac:dyDescent="0.25">
      <c r="A106" s="21">
        <v>46205</v>
      </c>
      <c r="B106" s="13"/>
      <c r="C106" s="22">
        <v>30</v>
      </c>
      <c r="D106" s="23">
        <f>38+37</f>
        <v>75</v>
      </c>
      <c r="E106" s="24">
        <f t="shared" si="33"/>
        <v>105</v>
      </c>
      <c r="F106" s="76"/>
      <c r="G106" s="22">
        <v>79</v>
      </c>
      <c r="H106" s="23">
        <v>87</v>
      </c>
      <c r="I106" s="24">
        <f t="shared" si="34"/>
        <v>8</v>
      </c>
      <c r="J106" s="17"/>
      <c r="K106" s="22">
        <v>73</v>
      </c>
      <c r="L106" s="23">
        <f>41+40</f>
        <v>81</v>
      </c>
      <c r="M106" s="25">
        <f t="shared" si="35"/>
        <v>32</v>
      </c>
      <c r="N106" s="28"/>
      <c r="O106" s="29"/>
    </row>
    <row r="107" spans="1:15" hidden="1" x14ac:dyDescent="0.25">
      <c r="A107" s="21">
        <v>46206</v>
      </c>
      <c r="B107" s="13"/>
      <c r="C107" s="22">
        <v>0</v>
      </c>
      <c r="D107" s="23">
        <v>38</v>
      </c>
      <c r="E107" s="24">
        <f t="shared" si="33"/>
        <v>38</v>
      </c>
      <c r="F107" s="76"/>
      <c r="G107" s="22">
        <v>0</v>
      </c>
      <c r="H107" s="23">
        <v>0</v>
      </c>
      <c r="I107" s="24">
        <f t="shared" si="34"/>
        <v>0</v>
      </c>
      <c r="J107" s="17"/>
      <c r="K107" s="22">
        <v>0</v>
      </c>
      <c r="L107" s="23">
        <v>0</v>
      </c>
      <c r="M107" s="25">
        <f t="shared" si="35"/>
        <v>38</v>
      </c>
      <c r="N107" s="28"/>
      <c r="O107" s="30"/>
    </row>
    <row r="108" spans="1:15" hidden="1" x14ac:dyDescent="0.25">
      <c r="A108" s="67">
        <v>46207</v>
      </c>
      <c r="B108" s="13"/>
      <c r="C108" s="62">
        <v>0</v>
      </c>
      <c r="D108" s="57">
        <v>0</v>
      </c>
      <c r="E108" s="63">
        <f t="shared" si="33"/>
        <v>0</v>
      </c>
      <c r="F108" s="76"/>
      <c r="G108" s="62">
        <v>0</v>
      </c>
      <c r="H108" s="57">
        <v>0</v>
      </c>
      <c r="I108" s="63">
        <f t="shared" si="34"/>
        <v>0</v>
      </c>
      <c r="J108" s="17"/>
      <c r="K108" s="62">
        <v>0</v>
      </c>
      <c r="L108" s="57">
        <v>0</v>
      </c>
      <c r="M108" s="59">
        <f t="shared" si="35"/>
        <v>0</v>
      </c>
      <c r="N108" s="13"/>
      <c r="O108" s="49"/>
    </row>
    <row r="109" spans="1:15" hidden="1" x14ac:dyDescent="0.25">
      <c r="A109" s="38" t="s">
        <v>30</v>
      </c>
      <c r="B109" s="39" t="s">
        <v>13</v>
      </c>
      <c r="C109" s="61">
        <f>SUM(C103:C108)</f>
        <v>167</v>
      </c>
      <c r="D109" s="61">
        <f>SUM(D103:D108)</f>
        <v>178</v>
      </c>
      <c r="E109" s="61">
        <f>SUM(C109:D109)</f>
        <v>345</v>
      </c>
      <c r="F109" s="45"/>
      <c r="G109" s="61">
        <f>SUM(G103:G108)</f>
        <v>338</v>
      </c>
      <c r="H109" s="61">
        <f>SUM(H103:H108)</f>
        <v>363</v>
      </c>
      <c r="I109" s="61">
        <f>H109-G109</f>
        <v>25</v>
      </c>
      <c r="J109" s="17"/>
      <c r="K109" s="61">
        <f>SUM(K103:K108)</f>
        <v>305</v>
      </c>
      <c r="L109" s="61">
        <f>SUM(L103:L108)</f>
        <v>317</v>
      </c>
      <c r="M109" s="61">
        <f>SUM(M103:M108)</f>
        <v>40</v>
      </c>
      <c r="N109" s="54">
        <f>H109-L109</f>
        <v>46</v>
      </c>
      <c r="O109" s="13"/>
    </row>
    <row r="110" spans="1:15" hidden="1" x14ac:dyDescent="0.25">
      <c r="A110" s="64" t="s">
        <v>30</v>
      </c>
      <c r="B110" s="39" t="s">
        <v>13</v>
      </c>
      <c r="C110" s="65">
        <f>SUM(C103:C108)</f>
        <v>167</v>
      </c>
      <c r="D110" s="23">
        <f>SUM(D103:D108)</f>
        <v>178</v>
      </c>
      <c r="E110" s="23">
        <f>D110+C110+O102</f>
        <v>666</v>
      </c>
      <c r="F110" s="39"/>
      <c r="G110" s="65">
        <f>SUM(G103:G108)</f>
        <v>338</v>
      </c>
      <c r="H110" s="23">
        <f>SUM(H103:H108)</f>
        <v>363</v>
      </c>
      <c r="I110" s="23">
        <f>+H110-G110</f>
        <v>25</v>
      </c>
      <c r="J110" s="39" t="s">
        <v>14</v>
      </c>
      <c r="K110" s="65">
        <f>SUM(K103:K108)</f>
        <v>305</v>
      </c>
      <c r="L110" s="23">
        <f>SUM(L103:L108)</f>
        <v>317</v>
      </c>
      <c r="M110" s="23">
        <f>SUM(M103:M108)</f>
        <v>40</v>
      </c>
      <c r="N110" s="23"/>
      <c r="O110" s="66">
        <f>E110-K110+F103</f>
        <v>428</v>
      </c>
    </row>
    <row r="111" spans="1:15" hidden="1" x14ac:dyDescent="0.25">
      <c r="A111" s="12">
        <v>46209</v>
      </c>
      <c r="B111" s="13"/>
      <c r="C111" s="14">
        <v>23</v>
      </c>
      <c r="D111" s="15">
        <v>0</v>
      </c>
      <c r="E111" s="16">
        <f t="shared" ref="E111:E116" si="36">C111+D111</f>
        <v>23</v>
      </c>
      <c r="F111" s="73"/>
      <c r="G111" s="14">
        <v>83</v>
      </c>
      <c r="H111" s="15">
        <v>91</v>
      </c>
      <c r="I111" s="16">
        <f t="shared" ref="I111:I116" si="37">H111-G111</f>
        <v>8</v>
      </c>
      <c r="J111" s="17"/>
      <c r="K111" s="14">
        <v>104</v>
      </c>
      <c r="L111" s="15">
        <f>32+39+44</f>
        <v>115</v>
      </c>
      <c r="M111" s="18">
        <f t="shared" ref="M111:M116" si="38">E111-K111</f>
        <v>-81</v>
      </c>
      <c r="N111" s="19"/>
      <c r="O111" s="20"/>
    </row>
    <row r="112" spans="1:15" hidden="1" x14ac:dyDescent="0.25">
      <c r="A112" s="21">
        <v>46210</v>
      </c>
      <c r="B112" s="13"/>
      <c r="C112" s="22">
        <v>32</v>
      </c>
      <c r="D112" s="23">
        <v>34</v>
      </c>
      <c r="E112" s="24">
        <f t="shared" si="36"/>
        <v>66</v>
      </c>
      <c r="F112" s="74"/>
      <c r="G112" s="22">
        <v>86</v>
      </c>
      <c r="H112" s="23">
        <v>95</v>
      </c>
      <c r="I112" s="24">
        <f t="shared" si="37"/>
        <v>9</v>
      </c>
      <c r="J112" s="17"/>
      <c r="K112" s="22">
        <v>80</v>
      </c>
      <c r="L112" s="23">
        <f>42+37</f>
        <v>79</v>
      </c>
      <c r="M112" s="25">
        <f t="shared" si="38"/>
        <v>-14</v>
      </c>
      <c r="N112" s="26"/>
      <c r="O112" s="27"/>
    </row>
    <row r="113" spans="1:15" hidden="1" x14ac:dyDescent="0.25">
      <c r="A113" s="21">
        <v>46211</v>
      </c>
      <c r="B113" s="13"/>
      <c r="C113" s="22">
        <f>37+33</f>
        <v>70</v>
      </c>
      <c r="D113" s="23">
        <v>32</v>
      </c>
      <c r="E113" s="24">
        <f t="shared" si="36"/>
        <v>102</v>
      </c>
      <c r="F113" s="74"/>
      <c r="G113" s="22">
        <v>78</v>
      </c>
      <c r="H113" s="23">
        <v>87</v>
      </c>
      <c r="I113" s="24">
        <f t="shared" si="37"/>
        <v>9</v>
      </c>
      <c r="J113" s="17"/>
      <c r="K113" s="22">
        <v>85</v>
      </c>
      <c r="L113" s="23">
        <v>83</v>
      </c>
      <c r="M113" s="25">
        <f t="shared" si="38"/>
        <v>17</v>
      </c>
      <c r="N113" s="26"/>
      <c r="O113" s="27"/>
    </row>
    <row r="114" spans="1:15" hidden="1" x14ac:dyDescent="0.25">
      <c r="A114" s="21">
        <v>46212</v>
      </c>
      <c r="B114" s="13"/>
      <c r="C114" s="22">
        <f>35</f>
        <v>35</v>
      </c>
      <c r="D114" s="23">
        <f>32+2</f>
        <v>34</v>
      </c>
      <c r="E114" s="24">
        <f t="shared" si="36"/>
        <v>69</v>
      </c>
      <c r="F114" s="74"/>
      <c r="G114" s="22">
        <v>78</v>
      </c>
      <c r="H114" s="23">
        <v>88</v>
      </c>
      <c r="I114" s="24">
        <f t="shared" si="37"/>
        <v>10</v>
      </c>
      <c r="J114" s="17"/>
      <c r="K114" s="22">
        <v>75</v>
      </c>
      <c r="L114" s="23">
        <v>76</v>
      </c>
      <c r="M114" s="25">
        <f t="shared" si="38"/>
        <v>-6</v>
      </c>
      <c r="N114" s="28"/>
      <c r="O114" s="29"/>
    </row>
    <row r="115" spans="1:15" hidden="1" x14ac:dyDescent="0.25">
      <c r="A115" s="21">
        <v>46213</v>
      </c>
      <c r="B115" s="13"/>
      <c r="C115" s="22">
        <v>32</v>
      </c>
      <c r="D115" s="23">
        <f>32</f>
        <v>32</v>
      </c>
      <c r="E115" s="24">
        <f t="shared" si="36"/>
        <v>64</v>
      </c>
      <c r="F115" s="74"/>
      <c r="G115" s="22">
        <v>93</v>
      </c>
      <c r="H115" s="23">
        <v>88</v>
      </c>
      <c r="I115" s="24">
        <f t="shared" si="37"/>
        <v>-5</v>
      </c>
      <c r="J115" s="17"/>
      <c r="K115" s="22">
        <v>110</v>
      </c>
      <c r="L115" s="23">
        <f>37+36+39</f>
        <v>112</v>
      </c>
      <c r="M115" s="25">
        <f t="shared" si="38"/>
        <v>-46</v>
      </c>
      <c r="N115" s="28"/>
      <c r="O115" s="30"/>
    </row>
    <row r="116" spans="1:15" hidden="1" x14ac:dyDescent="0.25">
      <c r="A116" s="67">
        <v>46214</v>
      </c>
      <c r="B116" s="13"/>
      <c r="C116" s="62">
        <v>0</v>
      </c>
      <c r="D116" s="57">
        <v>28</v>
      </c>
      <c r="E116" s="63">
        <f t="shared" si="36"/>
        <v>28</v>
      </c>
      <c r="F116" s="74"/>
      <c r="G116" s="62">
        <v>0</v>
      </c>
      <c r="H116" s="57">
        <v>0</v>
      </c>
      <c r="I116" s="63">
        <f t="shared" si="37"/>
        <v>0</v>
      </c>
      <c r="J116" s="17"/>
      <c r="K116" s="62">
        <v>0</v>
      </c>
      <c r="L116" s="57">
        <v>0</v>
      </c>
      <c r="M116" s="59">
        <f t="shared" si="38"/>
        <v>28</v>
      </c>
      <c r="N116" s="13"/>
      <c r="O116" s="49"/>
    </row>
    <row r="117" spans="1:15" hidden="1" x14ac:dyDescent="0.25">
      <c r="A117" s="38" t="s">
        <v>31</v>
      </c>
      <c r="B117" s="39" t="s">
        <v>13</v>
      </c>
      <c r="C117" s="61">
        <f>SUM(C111:C116)</f>
        <v>192</v>
      </c>
      <c r="D117" s="61">
        <f>SUM(D111:D116)</f>
        <v>160</v>
      </c>
      <c r="E117" s="61">
        <f>SUM(C117:D117)</f>
        <v>352</v>
      </c>
      <c r="F117" s="45"/>
      <c r="G117" s="61">
        <f>SUM(G111:G116)</f>
        <v>418</v>
      </c>
      <c r="H117" s="61">
        <f>SUM(H111:H116)</f>
        <v>449</v>
      </c>
      <c r="I117" s="61">
        <f>H117-G117</f>
        <v>31</v>
      </c>
      <c r="J117" s="17"/>
      <c r="K117" s="61">
        <f>SUM(K111:K116)</f>
        <v>454</v>
      </c>
      <c r="L117" s="61">
        <f>SUM(L111:L116)</f>
        <v>465</v>
      </c>
      <c r="M117" s="61">
        <f>SUM(M111:M116)</f>
        <v>-102</v>
      </c>
      <c r="N117" s="54">
        <f>H117-L117</f>
        <v>-16</v>
      </c>
      <c r="O117" s="13"/>
    </row>
    <row r="118" spans="1:15" hidden="1" x14ac:dyDescent="0.25">
      <c r="A118" s="64" t="s">
        <v>31</v>
      </c>
      <c r="B118" s="39" t="s">
        <v>13</v>
      </c>
      <c r="C118" s="65">
        <f>SUM(C111:C116)</f>
        <v>192</v>
      </c>
      <c r="D118" s="23">
        <f>SUM(D111:D116)</f>
        <v>160</v>
      </c>
      <c r="E118" s="23">
        <f>D118+C118+O110</f>
        <v>780</v>
      </c>
      <c r="F118" s="39"/>
      <c r="G118" s="65">
        <f>SUM(G111:G116)</f>
        <v>418</v>
      </c>
      <c r="H118" s="23">
        <f>SUM(H111:H116)</f>
        <v>449</v>
      </c>
      <c r="I118" s="23">
        <f>+H118-G118</f>
        <v>31</v>
      </c>
      <c r="J118" s="39" t="s">
        <v>14</v>
      </c>
      <c r="K118" s="65">
        <f>SUM(K111:K116)</f>
        <v>454</v>
      </c>
      <c r="L118" s="23">
        <f>SUM(L111:L116)</f>
        <v>465</v>
      </c>
      <c r="M118" s="23">
        <f>SUM(M111:M116)</f>
        <v>-102</v>
      </c>
      <c r="N118" s="23"/>
      <c r="O118" s="66">
        <f>E118-K118+F111</f>
        <v>326</v>
      </c>
    </row>
    <row r="119" spans="1:15" hidden="1" x14ac:dyDescent="0.25">
      <c r="A119" s="12">
        <v>46216</v>
      </c>
      <c r="B119" s="13"/>
      <c r="C119" s="14">
        <f>33+33</f>
        <v>66</v>
      </c>
      <c r="D119" s="15">
        <v>0</v>
      </c>
      <c r="E119" s="16">
        <f t="shared" ref="E119:E124" si="39">C119+D119</f>
        <v>66</v>
      </c>
      <c r="F119" s="73"/>
      <c r="G119" s="14">
        <v>91</v>
      </c>
      <c r="H119" s="15">
        <v>97</v>
      </c>
      <c r="I119" s="16">
        <f t="shared" ref="I119:I124" si="40">H119-G119</f>
        <v>6</v>
      </c>
      <c r="J119" s="17"/>
      <c r="K119" s="14">
        <v>70</v>
      </c>
      <c r="L119" s="15">
        <f>36+39</f>
        <v>75</v>
      </c>
      <c r="M119" s="18">
        <f t="shared" ref="M119:M124" si="41">E119-K119</f>
        <v>-4</v>
      </c>
      <c r="N119" s="19"/>
      <c r="O119" s="20"/>
    </row>
    <row r="120" spans="1:15" hidden="1" x14ac:dyDescent="0.25">
      <c r="A120" s="21">
        <v>46217</v>
      </c>
      <c r="B120" s="13"/>
      <c r="C120" s="22">
        <v>28</v>
      </c>
      <c r="D120" s="23">
        <f>35+36</f>
        <v>71</v>
      </c>
      <c r="E120" s="24">
        <f t="shared" si="39"/>
        <v>99</v>
      </c>
      <c r="F120" s="74"/>
      <c r="G120" s="22">
        <v>81</v>
      </c>
      <c r="H120" s="23">
        <v>88</v>
      </c>
      <c r="I120" s="24">
        <f t="shared" si="40"/>
        <v>7</v>
      </c>
      <c r="J120" s="17"/>
      <c r="K120" s="22">
        <v>74</v>
      </c>
      <c r="L120" s="23">
        <f>38+38</f>
        <v>76</v>
      </c>
      <c r="M120" s="25">
        <f t="shared" si="41"/>
        <v>25</v>
      </c>
      <c r="N120" s="26"/>
      <c r="O120" s="27"/>
    </row>
    <row r="121" spans="1:15" hidden="1" x14ac:dyDescent="0.25">
      <c r="A121" s="21">
        <v>46218</v>
      </c>
      <c r="B121" s="13"/>
      <c r="C121" s="22">
        <v>32</v>
      </c>
      <c r="D121" s="23">
        <f>14+16</f>
        <v>30</v>
      </c>
      <c r="E121" s="24">
        <f t="shared" si="39"/>
        <v>62</v>
      </c>
      <c r="F121" s="74"/>
      <c r="G121" s="22">
        <v>84</v>
      </c>
      <c r="H121" s="23">
        <v>89</v>
      </c>
      <c r="I121" s="24">
        <f t="shared" si="40"/>
        <v>5</v>
      </c>
      <c r="J121" s="17"/>
      <c r="K121" s="22">
        <v>102</v>
      </c>
      <c r="L121" s="23">
        <f>38+38+33</f>
        <v>109</v>
      </c>
      <c r="M121" s="25">
        <f t="shared" si="41"/>
        <v>-40</v>
      </c>
      <c r="N121" s="26"/>
      <c r="O121" s="27"/>
    </row>
    <row r="122" spans="1:15" hidden="1" x14ac:dyDescent="0.25">
      <c r="A122" s="21">
        <v>46219</v>
      </c>
      <c r="B122" s="13"/>
      <c r="C122" s="22">
        <v>0</v>
      </c>
      <c r="D122" s="23">
        <v>36</v>
      </c>
      <c r="E122" s="24">
        <f t="shared" si="39"/>
        <v>36</v>
      </c>
      <c r="F122" s="74"/>
      <c r="G122" s="22">
        <v>82</v>
      </c>
      <c r="H122" s="23">
        <v>95</v>
      </c>
      <c r="I122" s="24">
        <f t="shared" si="40"/>
        <v>13</v>
      </c>
      <c r="J122" s="17"/>
      <c r="K122" s="22">
        <v>72</v>
      </c>
      <c r="L122" s="23">
        <f>40+37</f>
        <v>77</v>
      </c>
      <c r="M122" s="25">
        <f t="shared" si="41"/>
        <v>-36</v>
      </c>
      <c r="N122" s="28"/>
      <c r="O122" s="29"/>
    </row>
    <row r="123" spans="1:15" hidden="1" x14ac:dyDescent="0.25">
      <c r="A123" s="21">
        <v>46220</v>
      </c>
      <c r="B123" s="13"/>
      <c r="C123" s="22">
        <v>34</v>
      </c>
      <c r="D123" s="23">
        <v>36</v>
      </c>
      <c r="E123" s="24">
        <f t="shared" si="39"/>
        <v>70</v>
      </c>
      <c r="F123" s="74"/>
      <c r="G123" s="22">
        <v>70</v>
      </c>
      <c r="H123" s="23">
        <v>82</v>
      </c>
      <c r="I123" s="24">
        <f t="shared" si="40"/>
        <v>12</v>
      </c>
      <c r="J123" s="17"/>
      <c r="K123" s="22">
        <v>124</v>
      </c>
      <c r="L123" s="23">
        <v>126</v>
      </c>
      <c r="M123" s="25">
        <f t="shared" si="41"/>
        <v>-54</v>
      </c>
      <c r="N123" s="28"/>
      <c r="O123" s="30"/>
    </row>
    <row r="124" spans="1:15" hidden="1" x14ac:dyDescent="0.25">
      <c r="A124" s="67">
        <v>46221</v>
      </c>
      <c r="B124" s="13"/>
      <c r="C124" s="62">
        <v>0</v>
      </c>
      <c r="D124" s="57">
        <v>30</v>
      </c>
      <c r="E124" s="63">
        <f t="shared" si="39"/>
        <v>30</v>
      </c>
      <c r="F124" s="74"/>
      <c r="G124" s="62">
        <v>45</v>
      </c>
      <c r="H124" s="57">
        <v>47</v>
      </c>
      <c r="I124" s="63">
        <f t="shared" si="40"/>
        <v>2</v>
      </c>
      <c r="J124" s="17"/>
      <c r="K124" s="62">
        <v>0</v>
      </c>
      <c r="L124" s="57">
        <v>0</v>
      </c>
      <c r="M124" s="59">
        <f t="shared" si="41"/>
        <v>30</v>
      </c>
      <c r="N124" s="13"/>
      <c r="O124" s="49"/>
    </row>
    <row r="125" spans="1:15" hidden="1" x14ac:dyDescent="0.25">
      <c r="A125" s="38" t="s">
        <v>32</v>
      </c>
      <c r="B125" s="39" t="s">
        <v>13</v>
      </c>
      <c r="C125" s="61">
        <f>SUM(C119:C124)</f>
        <v>160</v>
      </c>
      <c r="D125" s="61">
        <f>SUM(D119:D124)</f>
        <v>203</v>
      </c>
      <c r="E125" s="61">
        <f>SUM(C125:D125)</f>
        <v>363</v>
      </c>
      <c r="F125" s="45"/>
      <c r="G125" s="61">
        <f>SUM(G119:G124)</f>
        <v>453</v>
      </c>
      <c r="H125" s="61">
        <f>SUM(H119:H124)</f>
        <v>498</v>
      </c>
      <c r="I125" s="61">
        <f>H125-G125</f>
        <v>45</v>
      </c>
      <c r="J125" s="17"/>
      <c r="K125" s="61">
        <f>SUM(K119:K124)</f>
        <v>442</v>
      </c>
      <c r="L125" s="61">
        <f>SUM(L119:L124)</f>
        <v>463</v>
      </c>
      <c r="M125" s="61">
        <f>SUM(M119:M124)</f>
        <v>-79</v>
      </c>
      <c r="N125" s="54">
        <f>H125-L125</f>
        <v>35</v>
      </c>
      <c r="O125" s="13"/>
    </row>
    <row r="126" spans="1:15" hidden="1" x14ac:dyDescent="0.25">
      <c r="A126" s="68" t="s">
        <v>31</v>
      </c>
      <c r="B126" s="39" t="s">
        <v>13</v>
      </c>
      <c r="C126" s="65">
        <f>SUM(C119:C124)</f>
        <v>160</v>
      </c>
      <c r="D126" s="23">
        <f>SUM(D119:D124)</f>
        <v>203</v>
      </c>
      <c r="E126" s="23">
        <f>D126+C126+O118</f>
        <v>689</v>
      </c>
      <c r="F126" s="39"/>
      <c r="G126" s="65">
        <f>SUM(G119:G124)</f>
        <v>453</v>
      </c>
      <c r="H126" s="23">
        <f>SUM(H119:H124)</f>
        <v>498</v>
      </c>
      <c r="I126" s="23">
        <f>+H126-G126</f>
        <v>45</v>
      </c>
      <c r="J126" s="39" t="s">
        <v>14</v>
      </c>
      <c r="K126" s="65">
        <f>SUM(K119:K124)</f>
        <v>442</v>
      </c>
      <c r="L126" s="23">
        <f>SUM(L119:L124)</f>
        <v>463</v>
      </c>
      <c r="M126" s="23">
        <f>SUM(M119:M124)</f>
        <v>-79</v>
      </c>
      <c r="N126" s="23"/>
      <c r="O126" s="66">
        <f>E126-K126+F119</f>
        <v>247</v>
      </c>
    </row>
    <row r="127" spans="1:15" hidden="1" x14ac:dyDescent="0.25">
      <c r="A127" s="12">
        <v>46223</v>
      </c>
      <c r="B127" s="13"/>
      <c r="C127" s="14">
        <f>33+33</f>
        <v>66</v>
      </c>
      <c r="D127" s="15">
        <v>0</v>
      </c>
      <c r="E127" s="16">
        <f t="shared" ref="E127:E132" si="42">C127+D127</f>
        <v>66</v>
      </c>
      <c r="F127" s="73"/>
      <c r="G127" s="14">
        <v>61</v>
      </c>
      <c r="H127" s="15">
        <v>72</v>
      </c>
      <c r="I127" s="16">
        <f t="shared" ref="I127:I132" si="43">H127-G127</f>
        <v>11</v>
      </c>
      <c r="J127" s="17"/>
      <c r="K127" s="14">
        <v>70</v>
      </c>
      <c r="L127" s="15">
        <f>34+40</f>
        <v>74</v>
      </c>
      <c r="M127" s="16">
        <f t="shared" ref="M127:M132" si="44">E127-K127</f>
        <v>-4</v>
      </c>
      <c r="N127" s="19"/>
      <c r="O127" s="20"/>
    </row>
    <row r="128" spans="1:15" hidden="1" x14ac:dyDescent="0.25">
      <c r="A128" s="21">
        <v>46224</v>
      </c>
      <c r="B128" s="13"/>
      <c r="C128" s="22">
        <v>0</v>
      </c>
      <c r="D128" s="23">
        <v>33</v>
      </c>
      <c r="E128" s="24">
        <f t="shared" si="42"/>
        <v>33</v>
      </c>
      <c r="F128" s="74"/>
      <c r="G128" s="22">
        <v>78</v>
      </c>
      <c r="H128" s="23">
        <v>94</v>
      </c>
      <c r="I128" s="24">
        <f t="shared" si="43"/>
        <v>16</v>
      </c>
      <c r="J128" s="17"/>
      <c r="K128" s="22">
        <v>76</v>
      </c>
      <c r="L128" s="23">
        <v>84</v>
      </c>
      <c r="M128" s="24">
        <f t="shared" si="44"/>
        <v>-43</v>
      </c>
      <c r="N128" s="26"/>
      <c r="O128" s="27"/>
    </row>
    <row r="129" spans="1:15" hidden="1" x14ac:dyDescent="0.25">
      <c r="A129" s="21">
        <v>46225</v>
      </c>
      <c r="B129" s="13"/>
      <c r="C129" s="22">
        <f>36+39</f>
        <v>75</v>
      </c>
      <c r="D129" s="23">
        <v>34</v>
      </c>
      <c r="E129" s="24">
        <f t="shared" si="42"/>
        <v>109</v>
      </c>
      <c r="F129" s="74"/>
      <c r="G129" s="22">
        <v>76</v>
      </c>
      <c r="H129" s="23">
        <v>91</v>
      </c>
      <c r="I129" s="24">
        <f t="shared" si="43"/>
        <v>15</v>
      </c>
      <c r="J129" s="17"/>
      <c r="K129" s="22">
        <v>75</v>
      </c>
      <c r="L129" s="23">
        <v>78</v>
      </c>
      <c r="M129" s="24">
        <f t="shared" si="44"/>
        <v>34</v>
      </c>
      <c r="N129" s="26"/>
      <c r="O129" s="27"/>
    </row>
    <row r="130" spans="1:15" hidden="1" x14ac:dyDescent="0.25">
      <c r="A130" s="21">
        <v>46226</v>
      </c>
      <c r="B130" s="13"/>
      <c r="C130" s="22">
        <v>24</v>
      </c>
      <c r="D130" s="23">
        <f>36+38</f>
        <v>74</v>
      </c>
      <c r="E130" s="24">
        <f t="shared" si="42"/>
        <v>98</v>
      </c>
      <c r="F130" s="74"/>
      <c r="G130" s="22">
        <v>78</v>
      </c>
      <c r="H130" s="23">
        <v>86</v>
      </c>
      <c r="I130" s="24">
        <f t="shared" si="43"/>
        <v>8</v>
      </c>
      <c r="J130" s="17"/>
      <c r="K130" s="22">
        <v>76</v>
      </c>
      <c r="L130" s="23">
        <v>76</v>
      </c>
      <c r="M130" s="24">
        <f t="shared" si="44"/>
        <v>22</v>
      </c>
      <c r="N130" s="28"/>
      <c r="O130" s="29"/>
    </row>
    <row r="131" spans="1:15" hidden="1" x14ac:dyDescent="0.25">
      <c r="A131" s="21">
        <v>46227</v>
      </c>
      <c r="B131" s="13"/>
      <c r="C131" s="22">
        <v>32</v>
      </c>
      <c r="D131" s="23">
        <v>37</v>
      </c>
      <c r="E131" s="24">
        <f t="shared" si="42"/>
        <v>69</v>
      </c>
      <c r="F131" s="74"/>
      <c r="G131" s="22">
        <v>71</v>
      </c>
      <c r="H131" s="23">
        <v>76</v>
      </c>
      <c r="I131" s="24">
        <f t="shared" si="43"/>
        <v>5</v>
      </c>
      <c r="J131" s="17"/>
      <c r="K131" s="22">
        <v>109</v>
      </c>
      <c r="L131" s="23">
        <f>34+43+35</f>
        <v>112</v>
      </c>
      <c r="M131" s="24">
        <f t="shared" si="44"/>
        <v>-40</v>
      </c>
      <c r="N131" s="28"/>
      <c r="O131" s="30"/>
    </row>
    <row r="132" spans="1:15" ht="15.75" hidden="1" thickBot="1" x14ac:dyDescent="0.3">
      <c r="A132" s="31">
        <v>46228</v>
      </c>
      <c r="B132" s="13"/>
      <c r="C132" s="32">
        <v>0</v>
      </c>
      <c r="D132" s="33">
        <f>24+11</f>
        <v>35</v>
      </c>
      <c r="E132" s="34">
        <f t="shared" si="42"/>
        <v>35</v>
      </c>
      <c r="F132" s="74"/>
      <c r="G132" s="32">
        <v>47</v>
      </c>
      <c r="H132" s="33">
        <v>55</v>
      </c>
      <c r="I132" s="34">
        <f t="shared" si="43"/>
        <v>8</v>
      </c>
      <c r="J132" s="17"/>
      <c r="K132" s="32">
        <v>0</v>
      </c>
      <c r="L132" s="33">
        <v>0</v>
      </c>
      <c r="M132" s="34">
        <f t="shared" si="44"/>
        <v>35</v>
      </c>
      <c r="N132" s="13"/>
      <c r="O132" s="49"/>
    </row>
    <row r="133" spans="1:15" hidden="1" x14ac:dyDescent="0.25">
      <c r="A133" s="69" t="s">
        <v>33</v>
      </c>
      <c r="B133" s="43" t="s">
        <v>13</v>
      </c>
      <c r="C133" s="54">
        <f>SUM(C127:C132)</f>
        <v>197</v>
      </c>
      <c r="D133" s="54">
        <f>SUM(D127:D132)</f>
        <v>213</v>
      </c>
      <c r="E133" s="54">
        <f>SUM(C133:D133)</f>
        <v>410</v>
      </c>
      <c r="F133" s="45"/>
      <c r="G133" s="54">
        <f>SUM(G127:G132)</f>
        <v>411</v>
      </c>
      <c r="H133" s="54">
        <f>SUM(H127:H132)</f>
        <v>474</v>
      </c>
      <c r="I133" s="54">
        <f>H133-G133</f>
        <v>63</v>
      </c>
      <c r="J133" s="17"/>
      <c r="K133" s="54">
        <f>SUM(K127:K132)</f>
        <v>406</v>
      </c>
      <c r="L133" s="54">
        <f>SUM(L127:L132)</f>
        <v>424</v>
      </c>
      <c r="M133" s="54">
        <f>SUM(M127:M132)</f>
        <v>4</v>
      </c>
      <c r="N133" s="54">
        <f>H133-L133</f>
        <v>50</v>
      </c>
      <c r="O133" s="13"/>
    </row>
    <row r="134" spans="1:15" hidden="1" x14ac:dyDescent="0.25">
      <c r="A134" s="64" t="s">
        <v>33</v>
      </c>
      <c r="B134" s="39" t="s">
        <v>13</v>
      </c>
      <c r="C134" s="65">
        <f>SUM(C127:C132)</f>
        <v>197</v>
      </c>
      <c r="D134" s="23">
        <f>SUM(D127:D132)</f>
        <v>213</v>
      </c>
      <c r="E134" s="23">
        <f>D134+C134+O126</f>
        <v>657</v>
      </c>
      <c r="F134" s="39"/>
      <c r="G134" s="65">
        <f>SUM(G127:G132)</f>
        <v>411</v>
      </c>
      <c r="H134" s="23">
        <f>SUM(H127:H132)</f>
        <v>474</v>
      </c>
      <c r="I134" s="23">
        <f>+H134-G134</f>
        <v>63</v>
      </c>
      <c r="J134" s="39" t="s">
        <v>14</v>
      </c>
      <c r="K134" s="65">
        <f>SUM(K127:K132)</f>
        <v>406</v>
      </c>
      <c r="L134" s="23">
        <f>SUM(L127:L132)</f>
        <v>424</v>
      </c>
      <c r="M134" s="23">
        <f>SUM(M127:M132)</f>
        <v>4</v>
      </c>
      <c r="N134" s="23"/>
      <c r="O134" s="66">
        <f>E134-K134+F127</f>
        <v>251</v>
      </c>
    </row>
    <row r="135" spans="1:15" hidden="1" x14ac:dyDescent="0.25">
      <c r="A135" s="12">
        <v>46230</v>
      </c>
      <c r="B135" s="13"/>
      <c r="C135" s="14">
        <f>33+32</f>
        <v>65</v>
      </c>
      <c r="D135" s="15">
        <v>0</v>
      </c>
      <c r="E135" s="16">
        <f t="shared" ref="E135:E140" si="45">C135+D135</f>
        <v>65</v>
      </c>
      <c r="F135" s="73"/>
      <c r="G135" s="14">
        <v>81</v>
      </c>
      <c r="H135" s="15">
        <v>96</v>
      </c>
      <c r="I135" s="16">
        <f t="shared" ref="I135:I140" si="46">H135-G135</f>
        <v>15</v>
      </c>
      <c r="J135" s="17"/>
      <c r="K135" s="14">
        <v>73</v>
      </c>
      <c r="L135" s="15">
        <f>37+39</f>
        <v>76</v>
      </c>
      <c r="M135" s="16">
        <f t="shared" ref="M135:M140" si="47">E135-K135</f>
        <v>-8</v>
      </c>
      <c r="N135" s="19"/>
      <c r="O135" s="20"/>
    </row>
    <row r="136" spans="1:15" hidden="1" x14ac:dyDescent="0.25">
      <c r="A136" s="21">
        <v>46231</v>
      </c>
      <c r="B136" s="13"/>
      <c r="C136" s="22">
        <f>34</f>
        <v>34</v>
      </c>
      <c r="D136" s="23">
        <v>36</v>
      </c>
      <c r="E136" s="24">
        <f t="shared" si="45"/>
        <v>70</v>
      </c>
      <c r="F136" s="74"/>
      <c r="G136" s="22">
        <v>81</v>
      </c>
      <c r="H136" s="23">
        <v>96</v>
      </c>
      <c r="I136" s="24">
        <f t="shared" si="46"/>
        <v>15</v>
      </c>
      <c r="J136" s="17"/>
      <c r="K136" s="22">
        <v>75</v>
      </c>
      <c r="L136" s="23">
        <f>37+39</f>
        <v>76</v>
      </c>
      <c r="M136" s="24">
        <f t="shared" si="47"/>
        <v>-5</v>
      </c>
      <c r="N136" s="26"/>
      <c r="O136" s="27"/>
    </row>
    <row r="137" spans="1:15" hidden="1" x14ac:dyDescent="0.25">
      <c r="A137" s="21">
        <v>46232</v>
      </c>
      <c r="B137" s="13"/>
      <c r="C137" s="22">
        <v>25</v>
      </c>
      <c r="D137" s="23">
        <v>36</v>
      </c>
      <c r="E137" s="24">
        <f t="shared" si="45"/>
        <v>61</v>
      </c>
      <c r="F137" s="74"/>
      <c r="G137" s="22">
        <v>69</v>
      </c>
      <c r="H137" s="23">
        <v>77</v>
      </c>
      <c r="I137" s="24">
        <f t="shared" si="46"/>
        <v>8</v>
      </c>
      <c r="J137" s="17"/>
      <c r="K137" s="22">
        <v>115</v>
      </c>
      <c r="L137" s="23">
        <v>116</v>
      </c>
      <c r="M137" s="24">
        <f t="shared" si="47"/>
        <v>-54</v>
      </c>
      <c r="N137" s="26"/>
      <c r="O137" s="27"/>
    </row>
    <row r="138" spans="1:15" hidden="1" x14ac:dyDescent="0.25">
      <c r="A138" s="21">
        <v>46233</v>
      </c>
      <c r="B138" s="13"/>
      <c r="C138" s="22">
        <v>26</v>
      </c>
      <c r="D138" s="23">
        <v>38</v>
      </c>
      <c r="E138" s="24">
        <f t="shared" si="45"/>
        <v>64</v>
      </c>
      <c r="F138" s="74"/>
      <c r="G138" s="22">
        <v>76</v>
      </c>
      <c r="H138" s="23">
        <v>77</v>
      </c>
      <c r="I138" s="24">
        <f t="shared" si="46"/>
        <v>1</v>
      </c>
      <c r="J138" s="17"/>
      <c r="K138" s="22">
        <v>74</v>
      </c>
      <c r="L138" s="23">
        <v>80</v>
      </c>
      <c r="M138" s="24">
        <f t="shared" si="47"/>
        <v>-10</v>
      </c>
      <c r="N138" s="28"/>
      <c r="O138" s="29"/>
    </row>
    <row r="139" spans="1:15" hidden="1" x14ac:dyDescent="0.25">
      <c r="A139" s="21">
        <v>46234</v>
      </c>
      <c r="B139" s="13"/>
      <c r="C139" s="22">
        <f>36+17</f>
        <v>53</v>
      </c>
      <c r="D139" s="23">
        <v>36</v>
      </c>
      <c r="E139" s="24">
        <f t="shared" si="45"/>
        <v>89</v>
      </c>
      <c r="F139" s="74"/>
      <c r="G139" s="22">
        <v>83</v>
      </c>
      <c r="H139" s="23">
        <v>86</v>
      </c>
      <c r="I139" s="24">
        <f t="shared" si="46"/>
        <v>3</v>
      </c>
      <c r="J139" s="17"/>
      <c r="K139" s="22">
        <v>104</v>
      </c>
      <c r="L139" s="23">
        <v>106</v>
      </c>
      <c r="M139" s="24">
        <f t="shared" si="47"/>
        <v>-15</v>
      </c>
      <c r="N139" s="28"/>
      <c r="O139" s="30"/>
    </row>
    <row r="140" spans="1:15" ht="15.75" hidden="1" thickBot="1" x14ac:dyDescent="0.3">
      <c r="A140" s="31">
        <v>46235</v>
      </c>
      <c r="B140" s="13"/>
      <c r="C140" s="32">
        <v>0</v>
      </c>
      <c r="D140" s="33">
        <v>38</v>
      </c>
      <c r="E140" s="34">
        <f t="shared" si="45"/>
        <v>38</v>
      </c>
      <c r="F140" s="74"/>
      <c r="G140" s="32">
        <v>0</v>
      </c>
      <c r="H140" s="33">
        <v>0</v>
      </c>
      <c r="I140" s="34">
        <f t="shared" si="46"/>
        <v>0</v>
      </c>
      <c r="J140" s="17"/>
      <c r="K140" s="32">
        <v>0</v>
      </c>
      <c r="L140" s="33">
        <v>0</v>
      </c>
      <c r="M140" s="34">
        <f t="shared" si="47"/>
        <v>38</v>
      </c>
      <c r="N140" s="13"/>
      <c r="O140" s="49"/>
    </row>
    <row r="141" spans="1:15" hidden="1" x14ac:dyDescent="0.25">
      <c r="A141" s="69" t="s">
        <v>34</v>
      </c>
      <c r="B141" s="43" t="s">
        <v>13</v>
      </c>
      <c r="C141" s="54">
        <f>SUM(C135:C140)</f>
        <v>203</v>
      </c>
      <c r="D141" s="54">
        <f>SUM(D135:D140)</f>
        <v>184</v>
      </c>
      <c r="E141" s="54">
        <f>SUM(C141:D141)</f>
        <v>387</v>
      </c>
      <c r="F141" s="45"/>
      <c r="G141" s="54">
        <f>SUM(G135:G140)</f>
        <v>390</v>
      </c>
      <c r="H141" s="54">
        <f>SUM(H135:H140)</f>
        <v>432</v>
      </c>
      <c r="I141" s="54">
        <f>H141-G141</f>
        <v>42</v>
      </c>
      <c r="J141" s="17"/>
      <c r="K141" s="54">
        <f>SUM(K135:K140)</f>
        <v>441</v>
      </c>
      <c r="L141" s="54">
        <f>SUM(L135:L140)</f>
        <v>454</v>
      </c>
      <c r="M141" s="54">
        <f>SUM(M135:M140)</f>
        <v>-54</v>
      </c>
      <c r="N141" s="54">
        <f>H141-L141</f>
        <v>-22</v>
      </c>
      <c r="O141" s="13"/>
    </row>
    <row r="142" spans="1:15" hidden="1" x14ac:dyDescent="0.25">
      <c r="A142" s="64" t="s">
        <v>34</v>
      </c>
      <c r="B142" s="39" t="s">
        <v>13</v>
      </c>
      <c r="C142" s="65">
        <f>SUM(C135:C140)</f>
        <v>203</v>
      </c>
      <c r="D142" s="23">
        <f>SUM(D135:D140)</f>
        <v>184</v>
      </c>
      <c r="E142" s="23">
        <f>D142+C142+O134</f>
        <v>638</v>
      </c>
      <c r="F142" s="39"/>
      <c r="G142" s="65">
        <f>SUM(G135:G140)</f>
        <v>390</v>
      </c>
      <c r="H142" s="23">
        <f>SUM(H135:H140)</f>
        <v>432</v>
      </c>
      <c r="I142" s="23">
        <f>+H142-G142</f>
        <v>42</v>
      </c>
      <c r="J142" s="39" t="s">
        <v>14</v>
      </c>
      <c r="K142" s="65">
        <f>SUM(K135:K140)</f>
        <v>441</v>
      </c>
      <c r="L142" s="23">
        <f>SUM(L135:L140)</f>
        <v>454</v>
      </c>
      <c r="M142" s="23">
        <f>SUM(M135:M140)</f>
        <v>-54</v>
      </c>
      <c r="N142" s="23"/>
      <c r="O142" s="66">
        <f>E142-K142+F135</f>
        <v>197</v>
      </c>
    </row>
    <row r="143" spans="1:15" hidden="1" x14ac:dyDescent="0.25">
      <c r="A143" s="12">
        <v>46237</v>
      </c>
      <c r="B143" s="13"/>
      <c r="C143" s="14">
        <v>0</v>
      </c>
      <c r="D143" s="15">
        <v>0</v>
      </c>
      <c r="E143" s="16">
        <f t="shared" ref="E143:E148" si="48">C143+D143</f>
        <v>0</v>
      </c>
      <c r="F143" s="73"/>
      <c r="G143" s="14">
        <v>57</v>
      </c>
      <c r="H143" s="15">
        <v>68</v>
      </c>
      <c r="I143" s="16">
        <f t="shared" ref="I143:I148" si="49">H143-G143</f>
        <v>11</v>
      </c>
      <c r="J143" s="17"/>
      <c r="K143" s="14">
        <v>41</v>
      </c>
      <c r="L143" s="15">
        <v>42</v>
      </c>
      <c r="M143" s="16">
        <f t="shared" ref="M143:M148" si="50">E143-K143</f>
        <v>-41</v>
      </c>
      <c r="N143" s="19"/>
      <c r="O143" s="20"/>
    </row>
    <row r="144" spans="1:15" hidden="1" x14ac:dyDescent="0.25">
      <c r="A144" s="21">
        <v>46238</v>
      </c>
      <c r="B144" s="13"/>
      <c r="C144" s="22">
        <f>34+27</f>
        <v>61</v>
      </c>
      <c r="D144" s="23">
        <v>0</v>
      </c>
      <c r="E144" s="24">
        <f t="shared" si="48"/>
        <v>61</v>
      </c>
      <c r="F144" s="74"/>
      <c r="G144" s="22">
        <v>66</v>
      </c>
      <c r="H144" s="23">
        <v>79</v>
      </c>
      <c r="I144" s="24">
        <f t="shared" si="49"/>
        <v>13</v>
      </c>
      <c r="J144" s="17"/>
      <c r="K144" s="22">
        <v>64</v>
      </c>
      <c r="L144" s="23">
        <f>36+38</f>
        <v>74</v>
      </c>
      <c r="M144" s="24">
        <f t="shared" si="50"/>
        <v>-3</v>
      </c>
      <c r="N144" s="26"/>
      <c r="O144" s="27"/>
    </row>
    <row r="145" spans="1:15" hidden="1" x14ac:dyDescent="0.25">
      <c r="A145" s="21">
        <v>46239</v>
      </c>
      <c r="B145" s="13"/>
      <c r="C145" s="22">
        <v>0</v>
      </c>
      <c r="D145" s="23">
        <v>34</v>
      </c>
      <c r="E145" s="24">
        <f t="shared" si="48"/>
        <v>34</v>
      </c>
      <c r="F145" s="74"/>
      <c r="G145" s="22">
        <v>80</v>
      </c>
      <c r="H145" s="23">
        <v>104</v>
      </c>
      <c r="I145" s="24">
        <f t="shared" si="49"/>
        <v>24</v>
      </c>
      <c r="J145" s="17"/>
      <c r="K145" s="22">
        <v>81</v>
      </c>
      <c r="L145" s="23">
        <v>80</v>
      </c>
      <c r="M145" s="24">
        <f t="shared" si="50"/>
        <v>-47</v>
      </c>
      <c r="N145" s="26"/>
      <c r="O145" s="27"/>
    </row>
    <row r="146" spans="1:15" hidden="1" x14ac:dyDescent="0.25">
      <c r="A146" s="21">
        <v>46240</v>
      </c>
      <c r="B146" s="13"/>
      <c r="C146" s="22">
        <f>17+32</f>
        <v>49</v>
      </c>
      <c r="D146" s="23">
        <f>34+36</f>
        <v>70</v>
      </c>
      <c r="E146" s="24">
        <f t="shared" si="48"/>
        <v>119</v>
      </c>
      <c r="F146" s="74"/>
      <c r="G146" s="22">
        <v>73</v>
      </c>
      <c r="H146" s="23">
        <v>79</v>
      </c>
      <c r="I146" s="24">
        <f t="shared" si="49"/>
        <v>6</v>
      </c>
      <c r="J146" s="17"/>
      <c r="K146" s="22">
        <v>78</v>
      </c>
      <c r="L146" s="23">
        <v>85</v>
      </c>
      <c r="M146" s="24">
        <f t="shared" si="50"/>
        <v>41</v>
      </c>
      <c r="N146" s="28"/>
      <c r="O146" s="29"/>
    </row>
    <row r="147" spans="1:15" hidden="1" x14ac:dyDescent="0.25">
      <c r="A147" s="21">
        <v>46241</v>
      </c>
      <c r="B147" s="13"/>
      <c r="C147" s="22">
        <v>36</v>
      </c>
      <c r="D147" s="23">
        <v>38</v>
      </c>
      <c r="E147" s="24">
        <f t="shared" si="48"/>
        <v>74</v>
      </c>
      <c r="F147" s="74"/>
      <c r="G147" s="22">
        <v>66</v>
      </c>
      <c r="H147" s="23">
        <v>59</v>
      </c>
      <c r="I147" s="24">
        <f t="shared" si="49"/>
        <v>-7</v>
      </c>
      <c r="J147" s="17"/>
      <c r="K147" s="22">
        <v>102</v>
      </c>
      <c r="L147" s="23">
        <v>104</v>
      </c>
      <c r="M147" s="24">
        <f t="shared" si="50"/>
        <v>-28</v>
      </c>
      <c r="N147" s="28"/>
      <c r="O147" s="30"/>
    </row>
    <row r="148" spans="1:15" ht="15.75" hidden="1" thickBot="1" x14ac:dyDescent="0.3">
      <c r="A148" s="31">
        <v>46242</v>
      </c>
      <c r="B148" s="13"/>
      <c r="C148" s="32">
        <v>0</v>
      </c>
      <c r="D148" s="33">
        <v>32</v>
      </c>
      <c r="E148" s="34">
        <f t="shared" si="48"/>
        <v>32</v>
      </c>
      <c r="F148" s="74"/>
      <c r="G148" s="32">
        <v>0</v>
      </c>
      <c r="H148" s="33">
        <v>0</v>
      </c>
      <c r="I148" s="34">
        <f t="shared" si="49"/>
        <v>0</v>
      </c>
      <c r="J148" s="17"/>
      <c r="K148" s="32">
        <v>0</v>
      </c>
      <c r="L148" s="33">
        <v>0</v>
      </c>
      <c r="M148" s="34">
        <f t="shared" si="50"/>
        <v>32</v>
      </c>
      <c r="N148" s="13"/>
      <c r="O148" s="49"/>
    </row>
    <row r="149" spans="1:15" hidden="1" x14ac:dyDescent="0.25">
      <c r="A149" s="69" t="s">
        <v>35</v>
      </c>
      <c r="B149" s="43" t="s">
        <v>13</v>
      </c>
      <c r="C149" s="54">
        <f>SUM(C143:C148)</f>
        <v>146</v>
      </c>
      <c r="D149" s="54">
        <f>SUM(D143:D148)</f>
        <v>174</v>
      </c>
      <c r="E149" s="54">
        <f>SUM(C149:D149)</f>
        <v>320</v>
      </c>
      <c r="F149" s="45"/>
      <c r="G149" s="54">
        <f>SUM(G143:G148)</f>
        <v>342</v>
      </c>
      <c r="H149" s="54">
        <f>SUM(H143:H148)</f>
        <v>389</v>
      </c>
      <c r="I149" s="54">
        <f>H149-G149</f>
        <v>47</v>
      </c>
      <c r="J149" s="17"/>
      <c r="K149" s="54">
        <f>SUM(K143:K148)</f>
        <v>366</v>
      </c>
      <c r="L149" s="54">
        <f>SUM(L143:L148)</f>
        <v>385</v>
      </c>
      <c r="M149" s="54">
        <f>SUM(M143:M148)</f>
        <v>-46</v>
      </c>
      <c r="N149" s="54">
        <f>H149-L149</f>
        <v>4</v>
      </c>
      <c r="O149" s="13"/>
    </row>
    <row r="150" spans="1:15" hidden="1" x14ac:dyDescent="0.25">
      <c r="A150" s="64" t="s">
        <v>35</v>
      </c>
      <c r="B150" s="39" t="s">
        <v>13</v>
      </c>
      <c r="C150" s="65">
        <f>SUM(C143:C148)</f>
        <v>146</v>
      </c>
      <c r="D150" s="23">
        <f>SUM(D143:D148)</f>
        <v>174</v>
      </c>
      <c r="E150" s="23">
        <f>D150+C150+O142</f>
        <v>517</v>
      </c>
      <c r="F150" s="39"/>
      <c r="G150" s="65">
        <f>SUM(G143:G148)</f>
        <v>342</v>
      </c>
      <c r="H150" s="23">
        <f>SUM(H143:H148)</f>
        <v>389</v>
      </c>
      <c r="I150" s="23">
        <f>+H150-G150</f>
        <v>47</v>
      </c>
      <c r="J150" s="39" t="s">
        <v>14</v>
      </c>
      <c r="K150" s="65">
        <f>SUM(K143:K148)</f>
        <v>366</v>
      </c>
      <c r="L150" s="23">
        <f>SUM(L143:L148)</f>
        <v>385</v>
      </c>
      <c r="M150" s="23">
        <f>SUM(M143:M148)</f>
        <v>-46</v>
      </c>
      <c r="N150" s="23"/>
      <c r="O150" s="66">
        <f>E150-K150+F143</f>
        <v>151</v>
      </c>
    </row>
    <row r="151" spans="1:15" hidden="1" x14ac:dyDescent="0.25">
      <c r="A151" s="12">
        <v>46244</v>
      </c>
      <c r="B151" s="13"/>
      <c r="C151" s="14">
        <f>33+33</f>
        <v>66</v>
      </c>
      <c r="D151" s="15">
        <v>0</v>
      </c>
      <c r="E151" s="16">
        <f t="shared" ref="E151:E156" si="51">C151+D151</f>
        <v>66</v>
      </c>
      <c r="F151" s="73"/>
      <c r="G151" s="14">
        <v>85</v>
      </c>
      <c r="H151" s="15">
        <v>94</v>
      </c>
      <c r="I151" s="16">
        <f t="shared" ref="I151:I156" si="52">H151-G151</f>
        <v>9</v>
      </c>
      <c r="J151" s="17"/>
      <c r="K151" s="14">
        <v>82</v>
      </c>
      <c r="L151" s="15">
        <v>84</v>
      </c>
      <c r="M151" s="16">
        <f t="shared" ref="M151:M156" si="53">E151-K151</f>
        <v>-16</v>
      </c>
      <c r="N151" s="19"/>
      <c r="O151" s="20"/>
    </row>
    <row r="152" spans="1:15" hidden="1" x14ac:dyDescent="0.25">
      <c r="A152" s="21">
        <v>46245</v>
      </c>
      <c r="B152" s="13"/>
      <c r="C152" s="22">
        <v>0</v>
      </c>
      <c r="D152" s="23">
        <v>38</v>
      </c>
      <c r="E152" s="24">
        <f t="shared" si="51"/>
        <v>38</v>
      </c>
      <c r="F152" s="74"/>
      <c r="G152" s="22">
        <v>76</v>
      </c>
      <c r="H152" s="23">
        <v>86</v>
      </c>
      <c r="I152" s="24">
        <f t="shared" si="52"/>
        <v>10</v>
      </c>
      <c r="J152" s="17"/>
      <c r="K152" s="22">
        <v>77</v>
      </c>
      <c r="L152" s="23">
        <v>78</v>
      </c>
      <c r="M152" s="24">
        <f t="shared" si="53"/>
        <v>-39</v>
      </c>
      <c r="N152" s="26"/>
      <c r="O152" s="27"/>
    </row>
    <row r="153" spans="1:15" hidden="1" x14ac:dyDescent="0.25">
      <c r="A153" s="21">
        <v>46246</v>
      </c>
      <c r="B153" s="13"/>
      <c r="C153" s="22">
        <v>0</v>
      </c>
      <c r="D153" s="23">
        <v>36</v>
      </c>
      <c r="E153" s="24">
        <f t="shared" si="51"/>
        <v>36</v>
      </c>
      <c r="F153" s="74"/>
      <c r="G153" s="22">
        <v>89</v>
      </c>
      <c r="H153" s="23">
        <v>97</v>
      </c>
      <c r="I153" s="24">
        <f t="shared" si="52"/>
        <v>8</v>
      </c>
      <c r="J153" s="17"/>
      <c r="K153" s="22">
        <v>74</v>
      </c>
      <c r="L153" s="23">
        <v>78</v>
      </c>
      <c r="M153" s="24">
        <f t="shared" si="53"/>
        <v>-38</v>
      </c>
      <c r="N153" s="26"/>
      <c r="O153" s="27"/>
    </row>
    <row r="154" spans="1:15" hidden="1" x14ac:dyDescent="0.25">
      <c r="A154" s="21">
        <v>46247</v>
      </c>
      <c r="B154" s="13"/>
      <c r="C154" s="22">
        <v>35</v>
      </c>
      <c r="D154" s="23">
        <v>35</v>
      </c>
      <c r="E154" s="24">
        <f t="shared" si="51"/>
        <v>70</v>
      </c>
      <c r="F154" s="74"/>
      <c r="G154" s="22">
        <v>64</v>
      </c>
      <c r="H154" s="23">
        <v>79</v>
      </c>
      <c r="I154" s="24">
        <f>H154-G154</f>
        <v>15</v>
      </c>
      <c r="J154" s="17"/>
      <c r="K154" s="22">
        <v>69</v>
      </c>
      <c r="L154" s="23">
        <v>80</v>
      </c>
      <c r="M154" s="24">
        <f t="shared" si="53"/>
        <v>1</v>
      </c>
      <c r="N154" s="28"/>
      <c r="O154" s="29"/>
    </row>
    <row r="155" spans="1:15" hidden="1" x14ac:dyDescent="0.25">
      <c r="A155" s="21">
        <v>46248</v>
      </c>
      <c r="B155" s="13"/>
      <c r="C155" s="22">
        <v>34</v>
      </c>
      <c r="D155" s="23">
        <f>12+21</f>
        <v>33</v>
      </c>
      <c r="E155" s="24">
        <f t="shared" si="51"/>
        <v>67</v>
      </c>
      <c r="F155" s="74"/>
      <c r="G155" s="22">
        <v>77</v>
      </c>
      <c r="H155" s="23">
        <v>82</v>
      </c>
      <c r="I155" s="24">
        <f t="shared" si="52"/>
        <v>5</v>
      </c>
      <c r="J155" s="17"/>
      <c r="K155" s="22">
        <v>92</v>
      </c>
      <c r="L155" s="23">
        <f>30+35+37</f>
        <v>102</v>
      </c>
      <c r="M155" s="24">
        <f t="shared" si="53"/>
        <v>-25</v>
      </c>
      <c r="N155" s="28"/>
      <c r="O155" s="30"/>
    </row>
    <row r="156" spans="1:15" ht="15.75" hidden="1" thickBot="1" x14ac:dyDescent="0.3">
      <c r="A156" s="31">
        <v>46249</v>
      </c>
      <c r="B156" s="13"/>
      <c r="C156" s="32">
        <v>0</v>
      </c>
      <c r="D156" s="33">
        <v>37</v>
      </c>
      <c r="E156" s="34">
        <f t="shared" si="51"/>
        <v>37</v>
      </c>
      <c r="F156" s="74"/>
      <c r="G156" s="32">
        <v>0</v>
      </c>
      <c r="H156" s="33">
        <v>0</v>
      </c>
      <c r="I156" s="34">
        <f t="shared" si="52"/>
        <v>0</v>
      </c>
      <c r="J156" s="17"/>
      <c r="K156" s="32">
        <v>0</v>
      </c>
      <c r="L156" s="33">
        <v>0</v>
      </c>
      <c r="M156" s="34">
        <f t="shared" si="53"/>
        <v>37</v>
      </c>
      <c r="N156" s="13"/>
      <c r="O156" s="49"/>
    </row>
    <row r="157" spans="1:15" hidden="1" x14ac:dyDescent="0.25">
      <c r="A157" s="69" t="s">
        <v>36</v>
      </c>
      <c r="B157" s="43" t="s">
        <v>13</v>
      </c>
      <c r="C157" s="54">
        <f>SUM(C151:C156)</f>
        <v>135</v>
      </c>
      <c r="D157" s="54">
        <f>SUM(D151:D156)</f>
        <v>179</v>
      </c>
      <c r="E157" s="54">
        <f>SUM(C157:D157)</f>
        <v>314</v>
      </c>
      <c r="F157" s="45"/>
      <c r="G157" s="54">
        <f>SUM(G151:G156)</f>
        <v>391</v>
      </c>
      <c r="H157" s="54">
        <f>SUM(H151:H156)</f>
        <v>438</v>
      </c>
      <c r="I157" s="54">
        <f>H157-G157</f>
        <v>47</v>
      </c>
      <c r="J157" s="17"/>
      <c r="K157" s="54">
        <f>SUM(K151:K156)</f>
        <v>394</v>
      </c>
      <c r="L157" s="54">
        <f>SUM(L151:L156)</f>
        <v>422</v>
      </c>
      <c r="M157" s="54">
        <f>SUM(M151:M156)</f>
        <v>-80</v>
      </c>
      <c r="N157" s="54">
        <f>H157-L157</f>
        <v>16</v>
      </c>
      <c r="O157" s="13"/>
    </row>
    <row r="158" spans="1:15" ht="15.75" thickBot="1" x14ac:dyDescent="0.3">
      <c r="A158" s="64" t="s">
        <v>36</v>
      </c>
      <c r="B158" s="39" t="s">
        <v>13</v>
      </c>
      <c r="C158" s="65">
        <f>SUM(C151:C156)</f>
        <v>135</v>
      </c>
      <c r="D158" s="23">
        <f>SUM(D151:D156)</f>
        <v>179</v>
      </c>
      <c r="E158" s="23">
        <f>D158+C158+O150</f>
        <v>465</v>
      </c>
      <c r="F158" s="39"/>
      <c r="G158" s="65">
        <f>SUM(G151:G156)</f>
        <v>391</v>
      </c>
      <c r="H158" s="23">
        <f>SUM(H151:H156)</f>
        <v>438</v>
      </c>
      <c r="I158" s="23">
        <f>+H158-G158</f>
        <v>47</v>
      </c>
      <c r="J158" s="39" t="s">
        <v>14</v>
      </c>
      <c r="K158" s="65">
        <f>SUM(K151:K156)</f>
        <v>394</v>
      </c>
      <c r="L158" s="23">
        <f>SUM(L151:L156)</f>
        <v>422</v>
      </c>
      <c r="M158" s="23">
        <f>SUM(M151:M156)</f>
        <v>-80</v>
      </c>
      <c r="N158" s="23"/>
      <c r="O158" s="66">
        <f>E158-K158+F151</f>
        <v>71</v>
      </c>
    </row>
    <row r="159" spans="1:15" x14ac:dyDescent="0.25">
      <c r="A159" s="12">
        <v>46251</v>
      </c>
      <c r="B159" s="13"/>
      <c r="C159" s="14">
        <f>34+34</f>
        <v>68</v>
      </c>
      <c r="D159" s="15">
        <v>33</v>
      </c>
      <c r="E159" s="88">
        <f t="shared" ref="E159:E164" si="54">C159+D159</f>
        <v>101</v>
      </c>
      <c r="F159" s="73"/>
      <c r="G159" s="14">
        <v>77</v>
      </c>
      <c r="H159" s="15">
        <v>88</v>
      </c>
      <c r="I159" s="16">
        <f t="shared" ref="I159:I161" si="55">H159-G159</f>
        <v>11</v>
      </c>
      <c r="J159" s="17"/>
      <c r="K159" s="89">
        <v>71</v>
      </c>
      <c r="L159" s="15">
        <f>41+38</f>
        <v>79</v>
      </c>
      <c r="M159" s="88">
        <f t="shared" ref="M159:M164" si="56">E159-K159</f>
        <v>30</v>
      </c>
      <c r="N159" s="19"/>
      <c r="O159" s="20"/>
    </row>
    <row r="160" spans="1:15" x14ac:dyDescent="0.25">
      <c r="A160" s="21">
        <v>46252</v>
      </c>
      <c r="B160" s="13"/>
      <c r="C160" s="22">
        <v>35</v>
      </c>
      <c r="D160" s="23">
        <v>36</v>
      </c>
      <c r="E160" s="24">
        <f t="shared" si="54"/>
        <v>71</v>
      </c>
      <c r="F160" s="74"/>
      <c r="G160" s="22">
        <v>85</v>
      </c>
      <c r="H160" s="23">
        <v>88</v>
      </c>
      <c r="I160" s="24">
        <f t="shared" si="55"/>
        <v>3</v>
      </c>
      <c r="J160" s="17"/>
      <c r="K160" s="22">
        <v>72</v>
      </c>
      <c r="L160" s="23">
        <f>42+36</f>
        <v>78</v>
      </c>
      <c r="M160" s="24">
        <f t="shared" si="56"/>
        <v>-1</v>
      </c>
      <c r="N160" s="26"/>
      <c r="O160" s="27"/>
    </row>
    <row r="161" spans="1:15" x14ac:dyDescent="0.25">
      <c r="A161" s="21">
        <v>46253</v>
      </c>
      <c r="B161" s="13"/>
      <c r="C161" s="22">
        <v>26</v>
      </c>
      <c r="D161" s="23">
        <f>36+34</f>
        <v>70</v>
      </c>
      <c r="E161" s="24">
        <f t="shared" si="54"/>
        <v>96</v>
      </c>
      <c r="F161" s="74"/>
      <c r="G161" s="22">
        <v>92</v>
      </c>
      <c r="H161" s="23">
        <v>99</v>
      </c>
      <c r="I161" s="24">
        <f t="shared" si="55"/>
        <v>7</v>
      </c>
      <c r="J161" s="17"/>
      <c r="K161" s="22">
        <v>77</v>
      </c>
      <c r="L161" s="23">
        <f>41+37</f>
        <v>78</v>
      </c>
      <c r="M161" s="24">
        <f t="shared" si="56"/>
        <v>19</v>
      </c>
      <c r="N161" s="26"/>
      <c r="O161" s="27"/>
    </row>
    <row r="162" spans="1:15" x14ac:dyDescent="0.25">
      <c r="A162" s="21">
        <v>46254</v>
      </c>
      <c r="B162" s="13"/>
      <c r="C162" s="22">
        <v>35</v>
      </c>
      <c r="D162" s="23">
        <f>36</f>
        <v>36</v>
      </c>
      <c r="E162" s="24">
        <f t="shared" si="54"/>
        <v>71</v>
      </c>
      <c r="F162" s="74"/>
      <c r="G162" s="22">
        <v>89</v>
      </c>
      <c r="H162" s="23">
        <v>94</v>
      </c>
      <c r="I162" s="24">
        <f>H162-G162</f>
        <v>5</v>
      </c>
      <c r="J162" s="17"/>
      <c r="K162" s="22">
        <v>77</v>
      </c>
      <c r="L162" s="23">
        <f>42+39</f>
        <v>81</v>
      </c>
      <c r="M162" s="24">
        <f t="shared" si="56"/>
        <v>-6</v>
      </c>
      <c r="N162" s="28"/>
      <c r="O162" s="29"/>
    </row>
    <row r="163" spans="1:15" x14ac:dyDescent="0.25">
      <c r="A163" s="21">
        <v>46255</v>
      </c>
      <c r="B163" s="13"/>
      <c r="C163" s="22">
        <f>34+35</f>
        <v>69</v>
      </c>
      <c r="D163" s="23">
        <v>34</v>
      </c>
      <c r="E163" s="24">
        <f t="shared" si="54"/>
        <v>103</v>
      </c>
      <c r="F163" s="74"/>
      <c r="G163" s="22">
        <v>83</v>
      </c>
      <c r="H163" s="23">
        <v>88</v>
      </c>
      <c r="I163" s="24">
        <f t="shared" ref="I163:I164" si="57">H163-G163</f>
        <v>5</v>
      </c>
      <c r="J163" s="17"/>
      <c r="K163" s="22">
        <v>105</v>
      </c>
      <c r="L163" s="23">
        <v>105</v>
      </c>
      <c r="M163" s="24">
        <f t="shared" si="56"/>
        <v>-2</v>
      </c>
      <c r="N163" s="28"/>
      <c r="O163" s="30"/>
    </row>
    <row r="164" spans="1:15" ht="15.75" thickBot="1" x14ac:dyDescent="0.3">
      <c r="A164" s="31">
        <v>46256</v>
      </c>
      <c r="B164" s="13"/>
      <c r="C164" s="32">
        <v>0</v>
      </c>
      <c r="D164" s="33">
        <v>32</v>
      </c>
      <c r="E164" s="34">
        <f t="shared" si="54"/>
        <v>32</v>
      </c>
      <c r="F164" s="74"/>
      <c r="G164" s="32">
        <v>51</v>
      </c>
      <c r="H164" s="33">
        <v>59</v>
      </c>
      <c r="I164" s="34">
        <f t="shared" si="57"/>
        <v>8</v>
      </c>
      <c r="J164" s="17"/>
      <c r="K164" s="32">
        <v>0</v>
      </c>
      <c r="L164" s="33">
        <v>0</v>
      </c>
      <c r="M164" s="34">
        <f t="shared" si="56"/>
        <v>32</v>
      </c>
      <c r="N164" s="13"/>
      <c r="O164" s="49"/>
    </row>
    <row r="165" spans="1:15" x14ac:dyDescent="0.25">
      <c r="A165" s="69" t="s">
        <v>37</v>
      </c>
      <c r="B165" s="43" t="s">
        <v>13</v>
      </c>
      <c r="C165" s="54">
        <f>SUM(C159:C164)</f>
        <v>233</v>
      </c>
      <c r="D165" s="54">
        <f>SUM(D159:D164)</f>
        <v>241</v>
      </c>
      <c r="E165" s="54">
        <f>SUM(C165:D165)</f>
        <v>474</v>
      </c>
      <c r="F165" s="45"/>
      <c r="G165" s="54">
        <f>SUM(G159:G164)</f>
        <v>477</v>
      </c>
      <c r="H165" s="54">
        <f>SUM(H159:H164)</f>
        <v>516</v>
      </c>
      <c r="I165" s="54">
        <f>H165-G165</f>
        <v>39</v>
      </c>
      <c r="J165" s="17"/>
      <c r="K165" s="54">
        <f>SUM(K159:K164)</f>
        <v>402</v>
      </c>
      <c r="L165" s="54">
        <f>SUM(L159:L164)</f>
        <v>421</v>
      </c>
      <c r="M165" s="54">
        <f>SUM(M159:M164)</f>
        <v>72</v>
      </c>
      <c r="N165" s="54">
        <f>H165-L165</f>
        <v>95</v>
      </c>
      <c r="O165" s="13"/>
    </row>
    <row r="166" spans="1:15" ht="15.75" thickBot="1" x14ac:dyDescent="0.3">
      <c r="A166" s="64" t="s">
        <v>37</v>
      </c>
      <c r="B166" s="39" t="s">
        <v>13</v>
      </c>
      <c r="C166" s="65">
        <f>SUM(C159:C164)</f>
        <v>233</v>
      </c>
      <c r="D166" s="23">
        <f>SUM(D159:D164)</f>
        <v>241</v>
      </c>
      <c r="E166" s="23">
        <f>D166+C166+O158</f>
        <v>545</v>
      </c>
      <c r="F166" s="39"/>
      <c r="G166" s="65">
        <f>SUM(G159:G164)</f>
        <v>477</v>
      </c>
      <c r="H166" s="23">
        <f>SUM(H159:H164)</f>
        <v>516</v>
      </c>
      <c r="I166" s="23">
        <f>+H166-G166</f>
        <v>39</v>
      </c>
      <c r="J166" s="39" t="s">
        <v>14</v>
      </c>
      <c r="K166" s="65">
        <f>SUM(K159:K164)</f>
        <v>402</v>
      </c>
      <c r="L166" s="23">
        <f>SUM(L159:L164)</f>
        <v>421</v>
      </c>
      <c r="M166" s="23">
        <f>SUM(M159:M164)</f>
        <v>72</v>
      </c>
      <c r="N166" s="23"/>
      <c r="O166" s="66">
        <f>E166-K166+F159</f>
        <v>143</v>
      </c>
    </row>
    <row r="167" spans="1:15" x14ac:dyDescent="0.25">
      <c r="A167" s="12">
        <v>46258</v>
      </c>
      <c r="B167" s="13"/>
      <c r="C167" s="14">
        <f>33+36</f>
        <v>69</v>
      </c>
      <c r="D167" s="15">
        <v>0</v>
      </c>
      <c r="E167" s="16">
        <f t="shared" ref="E167:E172" si="58">C167+D167</f>
        <v>69</v>
      </c>
      <c r="F167" s="73"/>
      <c r="G167" s="14"/>
      <c r="H167" s="15"/>
      <c r="I167" s="16">
        <f t="shared" ref="I167:I169" si="59">H167-G167</f>
        <v>0</v>
      </c>
      <c r="J167" s="17"/>
      <c r="K167" s="14"/>
      <c r="L167" s="15"/>
      <c r="M167" s="16">
        <f t="shared" ref="M167:M172" si="60">E167-K167</f>
        <v>69</v>
      </c>
      <c r="N167" s="19"/>
      <c r="O167" s="20"/>
    </row>
    <row r="168" spans="1:15" x14ac:dyDescent="0.25">
      <c r="A168" s="21">
        <v>46259</v>
      </c>
      <c r="B168" s="13"/>
      <c r="C168" s="22">
        <f>26</f>
        <v>26</v>
      </c>
      <c r="D168" s="23">
        <v>36</v>
      </c>
      <c r="E168" s="24">
        <f t="shared" si="58"/>
        <v>62</v>
      </c>
      <c r="F168" s="74"/>
      <c r="G168" s="22">
        <v>85</v>
      </c>
      <c r="H168" s="23">
        <v>91</v>
      </c>
      <c r="I168" s="24">
        <f t="shared" si="59"/>
        <v>6</v>
      </c>
      <c r="J168" s="17"/>
      <c r="K168" s="22">
        <f>33+34</f>
        <v>67</v>
      </c>
      <c r="L168" s="23">
        <f>38+38</f>
        <v>76</v>
      </c>
      <c r="M168" s="24">
        <f>91-67</f>
        <v>24</v>
      </c>
      <c r="N168" s="26"/>
      <c r="O168" s="27"/>
    </row>
    <row r="169" spans="1:15" x14ac:dyDescent="0.25">
      <c r="A169" s="21">
        <v>46260</v>
      </c>
      <c r="B169" s="13"/>
      <c r="C169" s="22">
        <f>29</f>
        <v>29</v>
      </c>
      <c r="D169" s="23">
        <f>4+32</f>
        <v>36</v>
      </c>
      <c r="E169" s="24">
        <f t="shared" si="58"/>
        <v>65</v>
      </c>
      <c r="F169" s="74"/>
      <c r="G169" s="22">
        <v>80</v>
      </c>
      <c r="H169" s="23">
        <v>90</v>
      </c>
      <c r="I169" s="24">
        <f t="shared" si="59"/>
        <v>10</v>
      </c>
      <c r="J169" s="17"/>
      <c r="K169" s="22">
        <f>38+42</f>
        <v>80</v>
      </c>
      <c r="L169" s="23">
        <v>72</v>
      </c>
      <c r="M169" s="24">
        <f t="shared" si="60"/>
        <v>-15</v>
      </c>
      <c r="N169" s="26"/>
      <c r="O169" s="27"/>
    </row>
    <row r="170" spans="1:15" x14ac:dyDescent="0.25">
      <c r="A170" s="21">
        <v>46261</v>
      </c>
      <c r="B170" s="13"/>
      <c r="C170" s="22"/>
      <c r="D170" s="23">
        <f>36+36</f>
        <v>72</v>
      </c>
      <c r="E170" s="24">
        <f t="shared" si="58"/>
        <v>72</v>
      </c>
      <c r="F170" s="74"/>
      <c r="G170" s="22">
        <v>64</v>
      </c>
      <c r="H170" s="23">
        <v>73</v>
      </c>
      <c r="I170" s="24">
        <f>H170-G170</f>
        <v>9</v>
      </c>
      <c r="J170" s="17"/>
      <c r="K170" s="22">
        <f>43+38-6-4</f>
        <v>71</v>
      </c>
      <c r="L170" s="23">
        <f>43+38</f>
        <v>81</v>
      </c>
      <c r="M170" s="24">
        <f t="shared" si="60"/>
        <v>1</v>
      </c>
      <c r="N170" s="28"/>
      <c r="O170" s="29"/>
    </row>
    <row r="171" spans="1:15" x14ac:dyDescent="0.25">
      <c r="A171" s="21">
        <v>46262</v>
      </c>
      <c r="B171" s="13"/>
      <c r="C171" s="22">
        <f>36+36</f>
        <v>72</v>
      </c>
      <c r="D171" s="23">
        <v>36</v>
      </c>
      <c r="E171" s="24">
        <f t="shared" si="58"/>
        <v>108</v>
      </c>
      <c r="F171" s="74"/>
      <c r="G171" s="22"/>
      <c r="H171" s="23"/>
      <c r="I171" s="24">
        <f t="shared" ref="I171:I172" si="61">H171-G171</f>
        <v>0</v>
      </c>
      <c r="J171" s="17"/>
      <c r="K171" s="22">
        <f>26</f>
        <v>26</v>
      </c>
      <c r="L171" s="23">
        <f>41+26+4+32</f>
        <v>103</v>
      </c>
      <c r="M171" s="24">
        <f t="shared" si="60"/>
        <v>82</v>
      </c>
      <c r="N171" s="28"/>
      <c r="O171" s="30"/>
    </row>
    <row r="172" spans="1:15" ht="15.75" thickBot="1" x14ac:dyDescent="0.3">
      <c r="A172" s="31">
        <v>46263</v>
      </c>
      <c r="B172" s="13"/>
      <c r="C172" s="32"/>
      <c r="D172" s="33">
        <f>17+22</f>
        <v>39</v>
      </c>
      <c r="E172" s="34">
        <f t="shared" si="58"/>
        <v>39</v>
      </c>
      <c r="F172" s="74"/>
      <c r="G172" s="32"/>
      <c r="H172" s="33"/>
      <c r="I172" s="34">
        <f t="shared" si="61"/>
        <v>0</v>
      </c>
      <c r="J172" s="17"/>
      <c r="K172" s="32"/>
      <c r="L172" s="33"/>
      <c r="M172" s="34">
        <f t="shared" si="60"/>
        <v>39</v>
      </c>
      <c r="N172" s="13"/>
      <c r="O172" s="49"/>
    </row>
    <row r="173" spans="1:15" x14ac:dyDescent="0.25">
      <c r="A173" s="69" t="s">
        <v>38</v>
      </c>
      <c r="B173" s="43" t="s">
        <v>13</v>
      </c>
      <c r="C173" s="54">
        <f>SUM(C167:C172)</f>
        <v>196</v>
      </c>
      <c r="D173" s="54">
        <f>SUM(D167:D172)</f>
        <v>219</v>
      </c>
      <c r="E173" s="54">
        <f>SUM(C173:D173)</f>
        <v>415</v>
      </c>
      <c r="F173" s="45"/>
      <c r="G173" s="54">
        <f>SUM(G167:G172)</f>
        <v>229</v>
      </c>
      <c r="H173" s="54">
        <f>SUM(H167:H172)</f>
        <v>254</v>
      </c>
      <c r="I173" s="54">
        <f>H173-G173</f>
        <v>25</v>
      </c>
      <c r="J173" s="17"/>
      <c r="K173" s="54">
        <f>SUM(K167:K172)</f>
        <v>244</v>
      </c>
      <c r="L173" s="54">
        <f>SUM(L167:L172)</f>
        <v>332</v>
      </c>
      <c r="M173" s="54">
        <f>SUM(M167:M172)</f>
        <v>200</v>
      </c>
      <c r="N173" s="54">
        <f>H173-L173</f>
        <v>-78</v>
      </c>
      <c r="O173" s="13"/>
    </row>
    <row r="174" spans="1:15" ht="14.25" customHeight="1" thickBot="1" x14ac:dyDescent="0.3">
      <c r="A174" s="64" t="s">
        <v>38</v>
      </c>
      <c r="B174" s="39" t="s">
        <v>13</v>
      </c>
      <c r="C174" s="65">
        <f>SUM(C167:C172)</f>
        <v>196</v>
      </c>
      <c r="D174" s="23">
        <f>SUM(D167:D172)</f>
        <v>219</v>
      </c>
      <c r="E174" s="23">
        <f>D174+C174+O166</f>
        <v>558</v>
      </c>
      <c r="F174" s="39"/>
      <c r="G174" s="65">
        <f>SUM(G167:G172)</f>
        <v>229</v>
      </c>
      <c r="H174" s="23">
        <f>SUM(H167:H172)</f>
        <v>254</v>
      </c>
      <c r="I174" s="23">
        <f>+H174-G174</f>
        <v>25</v>
      </c>
      <c r="J174" s="39" t="s">
        <v>14</v>
      </c>
      <c r="K174" s="65">
        <f>SUM(K167:K172)</f>
        <v>244</v>
      </c>
      <c r="L174" s="23">
        <f>SUM(L167:L172)</f>
        <v>332</v>
      </c>
      <c r="M174" s="23">
        <f>SUM(M167:M172)</f>
        <v>200</v>
      </c>
      <c r="N174" s="23"/>
      <c r="O174" s="66">
        <f>E174-K174+F167</f>
        <v>314</v>
      </c>
    </row>
    <row r="175" spans="1:15" x14ac:dyDescent="0.25">
      <c r="A175" s="12">
        <v>46265</v>
      </c>
      <c r="B175" s="13"/>
      <c r="C175" s="14">
        <v>72</v>
      </c>
      <c r="D175" s="15"/>
      <c r="E175" s="16">
        <f t="shared" ref="E175:E180" si="62">C175+D175</f>
        <v>72</v>
      </c>
      <c r="F175" s="73"/>
      <c r="G175" s="14"/>
      <c r="H175" s="15"/>
      <c r="I175" s="16">
        <f t="shared" ref="I175:I177" si="63">H175-G175</f>
        <v>0</v>
      </c>
      <c r="J175" s="17"/>
      <c r="K175" s="14">
        <v>72</v>
      </c>
      <c r="L175" s="15">
        <f>37+39</f>
        <v>76</v>
      </c>
      <c r="M175" s="16">
        <f t="shared" ref="M175" si="64">E175-K175</f>
        <v>0</v>
      </c>
      <c r="N175" s="19"/>
      <c r="O175" s="20"/>
    </row>
    <row r="176" spans="1:15" x14ac:dyDescent="0.25">
      <c r="A176" s="21">
        <v>46266</v>
      </c>
      <c r="B176" s="13"/>
      <c r="C176" s="22"/>
      <c r="D176" s="23">
        <v>36</v>
      </c>
      <c r="E176" s="24">
        <f t="shared" si="62"/>
        <v>36</v>
      </c>
      <c r="F176" s="74"/>
      <c r="G176" s="22"/>
      <c r="H176" s="23"/>
      <c r="I176" s="24">
        <f t="shared" si="63"/>
        <v>0</v>
      </c>
      <c r="J176" s="17"/>
      <c r="K176" s="22">
        <v>80</v>
      </c>
      <c r="L176" s="23">
        <v>72</v>
      </c>
      <c r="M176" s="24">
        <f>91-67</f>
        <v>24</v>
      </c>
      <c r="N176" s="26"/>
      <c r="O176" s="27"/>
    </row>
    <row r="177" spans="1:15" x14ac:dyDescent="0.25">
      <c r="A177" s="21">
        <v>46267</v>
      </c>
      <c r="B177" s="13"/>
      <c r="C177" s="22">
        <v>37</v>
      </c>
      <c r="D177" s="23">
        <v>32</v>
      </c>
      <c r="E177" s="24">
        <f t="shared" si="62"/>
        <v>69</v>
      </c>
      <c r="F177" s="74"/>
      <c r="G177" s="22"/>
      <c r="H177" s="23"/>
      <c r="I177" s="24">
        <f t="shared" si="63"/>
        <v>0</v>
      </c>
      <c r="J177" s="17"/>
      <c r="K177" s="22">
        <f>41+42+39</f>
        <v>122</v>
      </c>
      <c r="L177" s="23">
        <f>39+39+36</f>
        <v>114</v>
      </c>
      <c r="M177" s="24">
        <f t="shared" ref="M177:M180" si="65">E177-K177</f>
        <v>-53</v>
      </c>
      <c r="N177" s="26"/>
      <c r="O177" s="27"/>
    </row>
    <row r="178" spans="1:15" x14ac:dyDescent="0.25">
      <c r="A178" s="21">
        <v>46268</v>
      </c>
      <c r="B178" s="13"/>
      <c r="C178" s="22"/>
      <c r="D178" s="23">
        <v>34</v>
      </c>
      <c r="E178" s="24">
        <f t="shared" si="62"/>
        <v>34</v>
      </c>
      <c r="F178" s="74"/>
      <c r="G178" s="22"/>
      <c r="H178" s="23"/>
      <c r="I178" s="24">
        <f>H178-G178</f>
        <v>0</v>
      </c>
      <c r="J178" s="17"/>
      <c r="K178" s="22">
        <f>43+40</f>
        <v>83</v>
      </c>
      <c r="L178" s="23">
        <f>41+39</f>
        <v>80</v>
      </c>
      <c r="M178" s="24">
        <f t="shared" si="65"/>
        <v>-49</v>
      </c>
      <c r="N178" s="28"/>
      <c r="O178" s="29"/>
    </row>
    <row r="179" spans="1:15" x14ac:dyDescent="0.25">
      <c r="A179" s="21">
        <v>46269</v>
      </c>
      <c r="B179" s="13"/>
      <c r="C179" s="22">
        <f>34+30</f>
        <v>64</v>
      </c>
      <c r="D179" s="23">
        <v>36</v>
      </c>
      <c r="E179" s="24">
        <f t="shared" si="62"/>
        <v>100</v>
      </c>
      <c r="F179" s="74"/>
      <c r="G179" s="22"/>
      <c r="H179" s="23"/>
      <c r="I179" s="24">
        <f t="shared" ref="I179:I180" si="66">H179-G179</f>
        <v>0</v>
      </c>
      <c r="J179" s="17"/>
      <c r="K179" s="22">
        <f>41+44+23</f>
        <v>108</v>
      </c>
      <c r="L179" s="23">
        <f>23+39+44</f>
        <v>106</v>
      </c>
      <c r="M179" s="24">
        <f t="shared" si="65"/>
        <v>-8</v>
      </c>
      <c r="N179" s="28"/>
      <c r="O179" s="30"/>
    </row>
    <row r="180" spans="1:15" ht="15.75" thickBot="1" x14ac:dyDescent="0.3">
      <c r="A180" s="31">
        <v>46270</v>
      </c>
      <c r="B180" s="13"/>
      <c r="C180" s="32"/>
      <c r="D180" s="33"/>
      <c r="E180" s="34">
        <f t="shared" si="62"/>
        <v>0</v>
      </c>
      <c r="F180" s="74"/>
      <c r="G180" s="32"/>
      <c r="H180" s="33"/>
      <c r="I180" s="34">
        <f t="shared" si="66"/>
        <v>0</v>
      </c>
      <c r="J180" s="17"/>
      <c r="K180" s="32"/>
      <c r="L180" s="33"/>
      <c r="M180" s="34">
        <f t="shared" si="65"/>
        <v>0</v>
      </c>
      <c r="N180" s="13"/>
      <c r="O180" s="49"/>
    </row>
    <row r="181" spans="1:15" x14ac:dyDescent="0.25">
      <c r="A181" s="69" t="s">
        <v>38</v>
      </c>
      <c r="B181" s="43" t="s">
        <v>13</v>
      </c>
      <c r="C181" s="54">
        <f>SUM(C175:C180)</f>
        <v>173</v>
      </c>
      <c r="D181" s="54">
        <f>SUM(D175:D180)</f>
        <v>138</v>
      </c>
      <c r="E181" s="54">
        <f>SUM(C181:D181)</f>
        <v>311</v>
      </c>
      <c r="F181" s="45"/>
      <c r="G181" s="54">
        <f>SUM(G175:G180)</f>
        <v>0</v>
      </c>
      <c r="H181" s="54">
        <f>SUM(H175:H180)</f>
        <v>0</v>
      </c>
      <c r="I181" s="54">
        <f>H181-G181</f>
        <v>0</v>
      </c>
      <c r="J181" s="17"/>
      <c r="K181" s="54">
        <f>SUM(K175:K180)</f>
        <v>465</v>
      </c>
      <c r="L181" s="54">
        <f>SUM(L175:L180)</f>
        <v>448</v>
      </c>
      <c r="M181" s="54">
        <f>SUM(M175:M180)</f>
        <v>-86</v>
      </c>
      <c r="N181" s="54">
        <f>H181-L181</f>
        <v>-448</v>
      </c>
      <c r="O181" s="13"/>
    </row>
    <row r="182" spans="1:15" ht="15.75" thickBot="1" x14ac:dyDescent="0.3">
      <c r="A182" s="64" t="s">
        <v>38</v>
      </c>
      <c r="B182" s="39" t="s">
        <v>13</v>
      </c>
      <c r="C182" s="65">
        <f>SUM(C175:C180)</f>
        <v>173</v>
      </c>
      <c r="D182" s="23">
        <f>SUM(D175:D180)</f>
        <v>138</v>
      </c>
      <c r="E182" s="23">
        <f>D182+C182+O174</f>
        <v>625</v>
      </c>
      <c r="F182" s="39"/>
      <c r="G182" s="65">
        <f>SUM(G175:G180)</f>
        <v>0</v>
      </c>
      <c r="H182" s="23">
        <f>SUM(H175:H180)</f>
        <v>0</v>
      </c>
      <c r="I182" s="23">
        <f>+H182-G182</f>
        <v>0</v>
      </c>
      <c r="J182" s="39" t="s">
        <v>14</v>
      </c>
      <c r="K182" s="65">
        <f>SUM(K175:K180)</f>
        <v>465</v>
      </c>
      <c r="L182" s="23">
        <f>SUM(L175:L180)</f>
        <v>448</v>
      </c>
      <c r="M182" s="23">
        <f>SUM(M175:M180)</f>
        <v>-86</v>
      </c>
      <c r="N182" s="23"/>
      <c r="O182" s="66">
        <f>E182-K182+F175</f>
        <v>160</v>
      </c>
    </row>
    <row r="183" spans="1:15" ht="15.75" thickBot="1" x14ac:dyDescent="0.3">
      <c r="A183" s="12">
        <v>46273</v>
      </c>
      <c r="B183" s="13"/>
      <c r="C183" s="14">
        <f>32+35</f>
        <v>67</v>
      </c>
      <c r="D183" s="15"/>
      <c r="E183" s="16"/>
      <c r="F183" s="73"/>
      <c r="G183" s="14"/>
      <c r="H183" s="15"/>
      <c r="I183" s="16">
        <f t="shared" ref="I183:I185" si="67">H183-G183</f>
        <v>0</v>
      </c>
      <c r="J183" s="17"/>
      <c r="K183" s="14"/>
      <c r="L183" s="15"/>
      <c r="M183" s="16"/>
      <c r="N183" s="19"/>
      <c r="O183" s="20"/>
    </row>
    <row r="184" spans="1:15" ht="15.75" thickBot="1" x14ac:dyDescent="0.3">
      <c r="A184" s="12">
        <v>46274</v>
      </c>
      <c r="B184" s="13"/>
      <c r="C184" s="22"/>
      <c r="D184" s="23">
        <f>26+7</f>
        <v>33</v>
      </c>
      <c r="E184" s="24"/>
      <c r="F184" s="74"/>
      <c r="G184" s="22"/>
      <c r="H184" s="23"/>
      <c r="I184" s="24">
        <f t="shared" si="67"/>
        <v>0</v>
      </c>
      <c r="J184" s="17"/>
      <c r="K184" s="22"/>
      <c r="L184" s="23"/>
      <c r="M184" s="24"/>
      <c r="N184" s="26"/>
      <c r="O184" s="27"/>
    </row>
    <row r="185" spans="1:15" ht="15.75" thickBot="1" x14ac:dyDescent="0.3">
      <c r="A185" s="12">
        <v>46274</v>
      </c>
      <c r="B185" s="13"/>
      <c r="C185" s="22"/>
      <c r="D185" s="23"/>
      <c r="E185" s="24"/>
      <c r="F185" s="74"/>
      <c r="G185" s="22"/>
      <c r="H185" s="23"/>
      <c r="I185" s="24">
        <f t="shared" si="67"/>
        <v>0</v>
      </c>
      <c r="J185" s="17"/>
      <c r="K185" s="22"/>
      <c r="L185" s="23"/>
      <c r="M185" s="24"/>
      <c r="N185" s="26"/>
      <c r="O185" s="27"/>
    </row>
    <row r="186" spans="1:15" ht="15.75" thickBot="1" x14ac:dyDescent="0.3">
      <c r="A186" s="12">
        <v>46274</v>
      </c>
      <c r="B186" s="13"/>
      <c r="C186" s="22"/>
      <c r="D186" s="23"/>
      <c r="E186" s="24"/>
      <c r="F186" s="74"/>
      <c r="G186" s="22"/>
      <c r="H186" s="23"/>
      <c r="I186" s="24">
        <f>H186-G186</f>
        <v>0</v>
      </c>
      <c r="J186" s="17"/>
      <c r="K186" s="22"/>
      <c r="L186" s="23"/>
      <c r="M186" s="24"/>
      <c r="N186" s="28"/>
      <c r="O186" s="29"/>
    </row>
    <row r="187" spans="1:15" ht="15.75" thickBot="1" x14ac:dyDescent="0.3">
      <c r="A187" s="12">
        <v>46274</v>
      </c>
      <c r="B187" s="13"/>
      <c r="C187" s="22"/>
      <c r="D187" s="23"/>
      <c r="E187" s="24"/>
      <c r="F187" s="74"/>
      <c r="G187" s="22"/>
      <c r="H187" s="23"/>
      <c r="I187" s="24">
        <f t="shared" ref="I187:I188" si="68">H187-G187</f>
        <v>0</v>
      </c>
      <c r="J187" s="17"/>
      <c r="K187" s="22"/>
      <c r="L187" s="23"/>
      <c r="M187" s="24"/>
      <c r="N187" s="28"/>
      <c r="O187" s="30"/>
    </row>
    <row r="188" spans="1:15" ht="15.75" thickBot="1" x14ac:dyDescent="0.3">
      <c r="A188" s="12">
        <v>46274</v>
      </c>
      <c r="B188" s="13"/>
      <c r="C188" s="32"/>
      <c r="D188" s="33"/>
      <c r="E188" s="34"/>
      <c r="F188" s="74"/>
      <c r="G188" s="32"/>
      <c r="H188" s="33"/>
      <c r="I188" s="34">
        <f t="shared" si="68"/>
        <v>0</v>
      </c>
      <c r="J188" s="17"/>
      <c r="K188" s="32"/>
      <c r="L188" s="33"/>
      <c r="M188" s="34"/>
      <c r="N188" s="13"/>
      <c r="O188" s="49"/>
    </row>
    <row r="189" spans="1:15" x14ac:dyDescent="0.25">
      <c r="A189" s="69" t="s">
        <v>38</v>
      </c>
      <c r="B189" s="43" t="s">
        <v>13</v>
      </c>
      <c r="C189" s="54">
        <f>SUM(C183:C188)</f>
        <v>67</v>
      </c>
      <c r="D189" s="54">
        <f>SUM(D183:D188)</f>
        <v>33</v>
      </c>
      <c r="E189" s="54">
        <f>SUM(C189:D189)</f>
        <v>100</v>
      </c>
      <c r="F189" s="45"/>
      <c r="G189" s="54">
        <f>SUM(G183:G188)</f>
        <v>0</v>
      </c>
      <c r="H189" s="54">
        <f>SUM(H183:H188)</f>
        <v>0</v>
      </c>
      <c r="I189" s="54">
        <f>H189-G189</f>
        <v>0</v>
      </c>
      <c r="J189" s="17"/>
      <c r="K189" s="54">
        <f>SUM(K183:K188)</f>
        <v>0</v>
      </c>
      <c r="L189" s="54">
        <f>SUM(L183:L188)</f>
        <v>0</v>
      </c>
      <c r="M189" s="54">
        <f>SUM(M183:M188)</f>
        <v>0</v>
      </c>
      <c r="N189" s="54">
        <f>H189-L189</f>
        <v>0</v>
      </c>
      <c r="O189" s="13"/>
    </row>
    <row r="190" spans="1:15" x14ac:dyDescent="0.25">
      <c r="A190" s="64" t="s">
        <v>38</v>
      </c>
      <c r="B190" s="39" t="s">
        <v>13</v>
      </c>
      <c r="C190" s="65">
        <f>SUM(C183:C188)</f>
        <v>67</v>
      </c>
      <c r="D190" s="23">
        <f>SUM(D183:D188)</f>
        <v>33</v>
      </c>
      <c r="E190" s="23">
        <f>D190+C190+O182</f>
        <v>260</v>
      </c>
      <c r="F190" s="39"/>
      <c r="G190" s="65">
        <f>SUM(G183:G188)</f>
        <v>0</v>
      </c>
      <c r="H190" s="23">
        <f>SUM(H183:H188)</f>
        <v>0</v>
      </c>
      <c r="I190" s="23">
        <f>+H190-G190</f>
        <v>0</v>
      </c>
      <c r="J190" s="39" t="s">
        <v>14</v>
      </c>
      <c r="K190" s="65">
        <f>SUM(K183:K188)</f>
        <v>0</v>
      </c>
      <c r="L190" s="23">
        <f>SUM(L183:L188)</f>
        <v>0</v>
      </c>
      <c r="M190" s="23">
        <f>SUM(M183:M188)</f>
        <v>0</v>
      </c>
      <c r="N190" s="23"/>
      <c r="O190" s="66">
        <f>E190-K190+F183</f>
        <v>260</v>
      </c>
    </row>
    <row r="191" spans="1:15" x14ac:dyDescent="0.25">
      <c r="A191" s="38"/>
      <c r="B191" s="70"/>
      <c r="C191" s="71"/>
      <c r="D191" s="13"/>
      <c r="E191" s="13"/>
      <c r="F191" s="70"/>
      <c r="G191" s="71"/>
      <c r="H191" s="13"/>
      <c r="I191" s="13"/>
      <c r="J191" s="70"/>
      <c r="K191" s="71"/>
      <c r="L191" s="13"/>
      <c r="M191" s="13"/>
      <c r="N191" s="13"/>
      <c r="O191" s="72"/>
    </row>
    <row r="193" spans="4:4" x14ac:dyDescent="0.25">
      <c r="D193">
        <f>262.4+438.03+304.41</f>
        <v>1004.8399999999999</v>
      </c>
    </row>
    <row r="194" spans="4:4" x14ac:dyDescent="0.25">
      <c r="D194">
        <f>10993.18+360</f>
        <v>11353.18</v>
      </c>
    </row>
  </sheetData>
  <mergeCells count="23">
    <mergeCell ref="A1:M1"/>
    <mergeCell ref="A3:A4"/>
    <mergeCell ref="C3:E3"/>
    <mergeCell ref="G3:I3"/>
    <mergeCell ref="K3:M3"/>
    <mergeCell ref="F143:F148"/>
    <mergeCell ref="O3:O4"/>
    <mergeCell ref="F5:F10"/>
    <mergeCell ref="F33:F38"/>
    <mergeCell ref="F63:F68"/>
    <mergeCell ref="F87:F92"/>
    <mergeCell ref="F95:F100"/>
    <mergeCell ref="N3:N4"/>
    <mergeCell ref="F103:F108"/>
    <mergeCell ref="F111:F116"/>
    <mergeCell ref="F119:F124"/>
    <mergeCell ref="F127:F132"/>
    <mergeCell ref="F135:F140"/>
    <mergeCell ref="F151:F156"/>
    <mergeCell ref="F159:F164"/>
    <mergeCell ref="F167:F172"/>
    <mergeCell ref="F175:F180"/>
    <mergeCell ref="F183:F18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Thai</dc:creator>
  <cp:lastModifiedBy>Andy Phan</cp:lastModifiedBy>
  <dcterms:created xsi:type="dcterms:W3CDTF">2026-09-17T20:38:27Z</dcterms:created>
  <dcterms:modified xsi:type="dcterms:W3CDTF">2026-09-17T21:34:07Z</dcterms:modified>
</cp:coreProperties>
</file>